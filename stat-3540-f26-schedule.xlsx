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czmann/Documents/teaching/stat3540/"/>
    </mc:Choice>
  </mc:AlternateContent>
  <xr:revisionPtr revIDLastSave="0" documentId="13_ncr:1_{01922F8D-B783-A940-94C0-CE8249E6888A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6" i="1" s="1"/>
  <c r="C3" i="1"/>
  <c r="C7" i="1" l="1"/>
  <c r="C8" i="1"/>
  <c r="C5" i="1"/>
  <c r="C9" i="1" l="1"/>
  <c r="C10" i="1"/>
  <c r="C11" i="1" l="1"/>
  <c r="C12" i="1"/>
  <c r="C13" i="1" l="1"/>
  <c r="C14" i="1"/>
  <c r="C15" i="1" l="1"/>
  <c r="C16" i="1"/>
  <c r="C17" i="1" l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</calcChain>
</file>

<file path=xl/sharedStrings.xml><?xml version="1.0" encoding="utf-8"?>
<sst xmlns="http://schemas.openxmlformats.org/spreadsheetml/2006/main" count="133" uniqueCount="90">
  <si>
    <t>week</t>
  </si>
  <si>
    <t>topic</t>
  </si>
  <si>
    <t>activity</t>
  </si>
  <si>
    <t>lab</t>
  </si>
  <si>
    <t>date_raw</t>
  </si>
  <si>
    <t>Fall Break</t>
  </si>
  <si>
    <t>Midterm Exam I</t>
  </si>
  <si>
    <t>Midterm Exam II</t>
  </si>
  <si>
    <t>Final Project Presentations</t>
  </si>
  <si>
    <t>unit</t>
  </si>
  <si>
    <t>Intro to DOE</t>
  </si>
  <si>
    <t>Complex Experimental Design</t>
  </si>
  <si>
    <t>Observational Studies and Survey Design</t>
  </si>
  <si>
    <t>Study Design through Case Studies</t>
  </si>
  <si>
    <t>prepare</t>
  </si>
  <si>
    <t>Mod 1: Introduction to Study Design</t>
  </si>
  <si>
    <t>Mod 2: CRD</t>
  </si>
  <si>
    <t>Mod 3: Power and Sample Size</t>
  </si>
  <si>
    <t>Mod 4: Factorials</t>
  </si>
  <si>
    <t>Mod 5: RCBD</t>
  </si>
  <si>
    <t>Mod 6: Random / Fixed Effects Models</t>
  </si>
  <si>
    <t>Mod 7: Extensions + Considerations</t>
  </si>
  <si>
    <t>Mod 8: Causal Inference</t>
  </si>
  <si>
    <t>Mod 9: Observational Studies</t>
  </si>
  <si>
    <t>Mod 12: Survey Weights</t>
  </si>
  <si>
    <t>Mod 13: Putting it all Together!</t>
  </si>
  <si>
    <t>Mod 10: Writing Survey Instruments</t>
  </si>
  <si>
    <t>Mod 11: Survey Sampling</t>
  </si>
  <si>
    <t>class_slides</t>
  </si>
  <si>
    <t>prep_slides</t>
  </si>
  <si>
    <t>2-slides/01.1-basics-of-doe.qmd</t>
  </si>
  <si>
    <t>2-slides/01.2-controlling-for-variability.qmd</t>
  </si>
  <si>
    <t>1-prep/01.1-prep.qmd</t>
  </si>
  <si>
    <t>1-prep/01.2-prep.qmd</t>
  </si>
  <si>
    <t>3-activities/instructions/01.1-activity-turkey-in-pens.qmd</t>
  </si>
  <si>
    <t>https://docs.google.com/presentation/d/1huFMgeDgVDLGn2SQCMUyEFC3V7_B0oH9zRA3VXeGsgk/edit?usp=sharing</t>
  </si>
  <si>
    <t>3-activities/instructions/01.2-activity-sources-of-variation.qmd</t>
  </si>
  <si>
    <t>https://docs.google.com/presentation/d/1i0n-4905RxE9mdDFWk7eq4qvKPRdyUzQVsWy-UYQXWQ/edit?usp=sharing</t>
  </si>
  <si>
    <t>4-labs/lab1-recruit.qmd</t>
  </si>
  <si>
    <t>2-slides/02.1-crd-design-analysis-model.qmd</t>
  </si>
  <si>
    <t>1-prep/02.1-prep.qmd</t>
  </si>
  <si>
    <t>3-activities/instructions/02.1-activity-intro-to-crd.qmd</t>
  </si>
  <si>
    <t>1-prep/02.2-prep.qmd</t>
  </si>
  <si>
    <t>https://docs.google.com/presentation/d/1TPYCM47Z3NjaMAICOFkSf6Bc7VC0w9rspReTiJoYckM/edit?usp=sharing</t>
  </si>
  <si>
    <t>2-slides/02.2-crd-contrasts.qmd</t>
  </si>
  <si>
    <t>3-activities/instructions/02.2-activity-comparing-means.qmd</t>
  </si>
  <si>
    <t>https://docs.google.com/presentation/d/1Ek6Zr9Vd8tYFCtOpWvfTYQTOjVFxCXzuQgJyph8KDSE/edit?usp=sharing</t>
  </si>
  <si>
    <t>1-prep/03.1-prep.qmd</t>
  </si>
  <si>
    <t>2-slides/03.1-power.qmd</t>
  </si>
  <si>
    <t>https://docs.google.com/presentation/d/1LECCxIsoXrOlfq4hSeCm90mX3H_KjaeMtiUCJn4d890/edit?usp=sharing</t>
  </si>
  <si>
    <t>3-activities/instructions/03.1-activity-what-impacts-power.qmd</t>
  </si>
  <si>
    <t>4-labs/lab2-crd.qmd</t>
  </si>
  <si>
    <t>1-prep/04.1-prep.qmd</t>
  </si>
  <si>
    <t>2-slides/04.1-factorials.qmd</t>
  </si>
  <si>
    <t>3-activities/instructions/04.1-activity-contrasts-for-factorials.qmd</t>
  </si>
  <si>
    <t>https://docs.google.com/presentation/d/12ID6VbCZhW5Nx4u54auJqxmrAmgb7ZwLVz-DfXAOtcE/edit?usp=sharing</t>
  </si>
  <si>
    <t>6-exams/practice/midterm1-practice.qmd</t>
  </si>
  <si>
    <t>2-slides/04.2-analyzing-a-factorial.qmd</t>
  </si>
  <si>
    <t>1-prep/04.2-prep.qmd</t>
  </si>
  <si>
    <t>3-activities/instructions/04.2-activity-analyze-factorials.qmd</t>
  </si>
  <si>
    <t>https://docs.google.com/presentation/d/1zYPjkIp9R6vygh8kYLwj0hp7THuQf9wUlZYz4ONd6hA/edit?usp=sharing</t>
  </si>
  <si>
    <t>1-prep/04.3-prep.qmd</t>
  </si>
  <si>
    <t>2-slides/04.3-higher-order-interactions.qmd</t>
  </si>
  <si>
    <t>2-slides/05.1-design-analyze-rcbd.qmd</t>
  </si>
  <si>
    <t>https://docs.google.com/presentation/d/1XBsJ83o-3HaQZP37dWNqCLQfHSNT0AcTkT7Hh_w3IJc/edit?usp=sharing</t>
  </si>
  <si>
    <t>1-prep/05.1-prep.qmd</t>
  </si>
  <si>
    <t>3-activities/instructions/05.1-activity-reducing-variability-with-blocking.qmd</t>
  </si>
  <si>
    <t>https://docs.google.com/presentation/d/1fFmKO692bu00JH5NpM9o9eT0IwXXy2ld8n5d-EjfaqA/edit?usp=sharing</t>
  </si>
  <si>
    <t>1-prep/05.2-prep.qmd</t>
  </si>
  <si>
    <t>1-prep/06.1-prep.qmd</t>
  </si>
  <si>
    <t>2-slides/05.2-factorial-in-rcbd.qmd</t>
  </si>
  <si>
    <t>2-slides/06.1-random-effects.qmd</t>
  </si>
  <si>
    <t>4-labs/lab3-factorial.qmd</t>
  </si>
  <si>
    <t>3-activities/instructions/05.2-activity-factorial-blocking.qmd</t>
  </si>
  <si>
    <t>https://docs.google.com/presentation/d/1Yk6pdE3H0PCLXP9f2IbbZXX7QI6KPaFCY-U9Njen41g/edit?usp=sharing</t>
  </si>
  <si>
    <t>3-activities/instructions/06.1-activity-color-interference.qmd</t>
  </si>
  <si>
    <t>1-prep/06.2-prep.qmd</t>
  </si>
  <si>
    <t>2-slides/06.2-subsampling-with-random-effects.qmd</t>
  </si>
  <si>
    <t>https://docs.google.com/presentation/d/1H1vy8YhR_CdbpuC7a4-f0j4mVrYejdXw-JYUVMPhCfY/</t>
  </si>
  <si>
    <t>1-prep/07.1-prep.qmd</t>
  </si>
  <si>
    <t>2-slides/07.1-more-designs.qmd</t>
  </si>
  <si>
    <t>3-activities/instructions/06.2-activity-subsampling.qmd</t>
  </si>
  <si>
    <t>https://docs.google.com/presentation/d/1dBzGEExrhUTM1T7zLMOr3MCZeZWTmTtMcCfUPAc3ogY/edit?usp=sharing</t>
  </si>
  <si>
    <t>3-activities/instructions/07.1-activity-latin-squares.qmd</t>
  </si>
  <si>
    <t>https://docs.google.com/presentation/d/1VoWvuFMsNbVO5FPdb5n3ckUyS90PdOLojxTTcUeTTIw/edit?usp=sharing</t>
  </si>
  <si>
    <t>2-slides/07.2-nonparametric.qmd</t>
  </si>
  <si>
    <t>1-prep/07.2-prep.qmd</t>
  </si>
  <si>
    <t>https://docs.google.com/presentation/d/1lye95sCgZcemNT8SeQ7YRkFnMKVEA4rIxcoCy5H_MrY/edit?usp=sharing</t>
  </si>
  <si>
    <t>1-prep/08.1-prep.qmd</t>
  </si>
  <si>
    <t>2-slides/08.1-causalinference.qmd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</si>
</sst>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rgb="FF000000"/>
      <name val="Roboto"/>
    </font>
    <font>
      <sz val="10"/>
      <color theme="1"/>
      <name val="Roboto"/>
    </font>
    <font>
      <u/>
      <sz val="10"/>
      <color theme="1"/>
      <name val="Roboto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14" fontId="1" fillId="0" borderId="0" xfId="0" applyNumberFormat="1" applyFont="1"/>
    <xf numFmtId="0" fontId="6" fillId="0" borderId="0" xfId="0" applyFont="1"/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0" fillId="3" borderId="1" xfId="0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0"/>
  <sheetViews>
    <sheetView tabSelected="1" topLeftCell="C1" zoomScale="150" workbookViewId="0">
      <selection activeCell="F17" sqref="F17"/>
    </sheetView>
  </sheetViews>
  <sheetFormatPr baseColWidth="10" defaultColWidth="12.6640625" defaultRowHeight="15.75" customHeight="1" x14ac:dyDescent="0.15"/>
  <cols>
    <col min="4" max="4" width="31.6640625" customWidth="1"/>
    <col min="5" max="6" width="25" customWidth="1"/>
    <col min="7" max="7" width="32.1640625" bestFit="1" customWidth="1"/>
    <col min="8" max="8" width="31.33203125" customWidth="1"/>
    <col min="9" max="9" width="27.5" customWidth="1"/>
  </cols>
  <sheetData>
    <row r="1" spans="1:9" ht="15.75" customHeight="1" x14ac:dyDescent="0.15">
      <c r="A1" s="1" t="s">
        <v>0</v>
      </c>
      <c r="B1" s="1" t="s">
        <v>9</v>
      </c>
      <c r="C1" s="1" t="s">
        <v>4</v>
      </c>
      <c r="D1" s="1" t="s">
        <v>1</v>
      </c>
      <c r="E1" s="1" t="s">
        <v>14</v>
      </c>
      <c r="F1" s="1" t="s">
        <v>29</v>
      </c>
      <c r="G1" s="1" t="s">
        <v>28</v>
      </c>
      <c r="H1" s="1" t="s">
        <v>2</v>
      </c>
      <c r="I1" s="1" t="s">
        <v>3</v>
      </c>
    </row>
    <row r="2" spans="1:9" ht="15.75" customHeight="1" x14ac:dyDescent="0.15">
      <c r="A2" s="1">
        <v>1</v>
      </c>
      <c r="B2" s="1" t="s">
        <v>10</v>
      </c>
      <c r="C2" s="6">
        <v>46259</v>
      </c>
      <c r="D2" s="8" t="s">
        <v>15</v>
      </c>
      <c r="E2" s="7" t="s">
        <v>32</v>
      </c>
      <c r="F2" s="7" t="s">
        <v>30</v>
      </c>
      <c r="G2" t="s">
        <v>35</v>
      </c>
      <c r="H2" s="7" t="s">
        <v>34</v>
      </c>
    </row>
    <row r="3" spans="1:9" ht="15.75" customHeight="1" x14ac:dyDescent="0.15">
      <c r="A3" s="1">
        <v>1</v>
      </c>
      <c r="B3" s="1" t="s">
        <v>10</v>
      </c>
      <c r="C3" s="6">
        <f>C2+2</f>
        <v>46261</v>
      </c>
      <c r="D3" s="8" t="s">
        <v>15</v>
      </c>
      <c r="E3" s="7" t="s">
        <v>33</v>
      </c>
      <c r="F3" s="7" t="s">
        <v>31</v>
      </c>
      <c r="G3" t="s">
        <v>37</v>
      </c>
      <c r="H3" s="7" t="s">
        <v>36</v>
      </c>
      <c r="I3" s="7" t="s">
        <v>38</v>
      </c>
    </row>
    <row r="4" spans="1:9" ht="15.75" customHeight="1" x14ac:dyDescent="0.15">
      <c r="A4" s="1">
        <v>2</v>
      </c>
      <c r="B4" s="1" t="s">
        <v>10</v>
      </c>
      <c r="C4" s="6">
        <f>C2+7</f>
        <v>46266</v>
      </c>
      <c r="D4" s="8" t="s">
        <v>16</v>
      </c>
      <c r="E4" s="7" t="s">
        <v>40</v>
      </c>
      <c r="F4" s="7" t="s">
        <v>39</v>
      </c>
      <c r="G4" t="s">
        <v>43</v>
      </c>
      <c r="H4" s="7" t="s">
        <v>41</v>
      </c>
    </row>
    <row r="5" spans="1:9" ht="15.75" customHeight="1" x14ac:dyDescent="0.15">
      <c r="A5" s="1">
        <v>2</v>
      </c>
      <c r="B5" s="1" t="s">
        <v>10</v>
      </c>
      <c r="C5" s="6">
        <f>C4+2</f>
        <v>46268</v>
      </c>
      <c r="D5" s="8" t="s">
        <v>16</v>
      </c>
      <c r="E5" s="7" t="s">
        <v>42</v>
      </c>
      <c r="F5" s="7" t="s">
        <v>44</v>
      </c>
      <c r="G5" t="s">
        <v>46</v>
      </c>
      <c r="H5" s="7" t="s">
        <v>45</v>
      </c>
      <c r="I5" s="7"/>
    </row>
    <row r="6" spans="1:9" ht="15.75" customHeight="1" x14ac:dyDescent="0.15">
      <c r="A6" s="1">
        <v>3</v>
      </c>
      <c r="B6" s="1" t="s">
        <v>10</v>
      </c>
      <c r="C6" s="6">
        <f>C4+7</f>
        <v>46273</v>
      </c>
      <c r="D6" s="11" t="s">
        <v>17</v>
      </c>
      <c r="E6" s="7" t="s">
        <v>47</v>
      </c>
      <c r="F6" s="7" t="s">
        <v>48</v>
      </c>
      <c r="G6" s="7" t="s">
        <v>49</v>
      </c>
      <c r="H6" s="7" t="s">
        <v>50</v>
      </c>
      <c r="I6" s="7" t="s">
        <v>51</v>
      </c>
    </row>
    <row r="7" spans="1:9" ht="15.75" customHeight="1" x14ac:dyDescent="0.15">
      <c r="A7" s="1">
        <v>3</v>
      </c>
      <c r="B7" s="1" t="s">
        <v>10</v>
      </c>
      <c r="C7" s="6">
        <f>C6+2</f>
        <v>46275</v>
      </c>
      <c r="D7" s="11" t="s">
        <v>18</v>
      </c>
      <c r="E7" s="7" t="s">
        <v>52</v>
      </c>
      <c r="F7" s="7" t="s">
        <v>53</v>
      </c>
      <c r="G7" s="7" t="s">
        <v>55</v>
      </c>
      <c r="H7" s="7" t="s">
        <v>54</v>
      </c>
      <c r="I7" s="7"/>
    </row>
    <row r="8" spans="1:9" ht="15.75" customHeight="1" x14ac:dyDescent="0.15">
      <c r="A8" s="1">
        <v>4</v>
      </c>
      <c r="B8" s="1" t="s">
        <v>10</v>
      </c>
      <c r="C8" s="6">
        <f>C6+7</f>
        <v>46280</v>
      </c>
      <c r="D8" s="11" t="s">
        <v>18</v>
      </c>
      <c r="E8" s="7" t="s">
        <v>58</v>
      </c>
      <c r="F8" s="7" t="s">
        <v>57</v>
      </c>
      <c r="G8" s="7" t="s">
        <v>60</v>
      </c>
      <c r="H8" s="7" t="s">
        <v>59</v>
      </c>
    </row>
    <row r="9" spans="1:9" ht="15.75" customHeight="1" x14ac:dyDescent="0.15">
      <c r="A9" s="12">
        <v>4</v>
      </c>
      <c r="B9" s="12" t="s">
        <v>10</v>
      </c>
      <c r="C9" s="13">
        <f>C8+2</f>
        <v>46282</v>
      </c>
      <c r="D9" s="14" t="s">
        <v>6</v>
      </c>
      <c r="E9" s="15" t="s">
        <v>56</v>
      </c>
      <c r="F9" s="15"/>
      <c r="G9" s="15"/>
      <c r="I9" s="7"/>
    </row>
    <row r="10" spans="1:9" ht="15.75" customHeight="1" x14ac:dyDescent="0.15">
      <c r="A10" s="1">
        <v>5</v>
      </c>
      <c r="B10" s="1" t="s">
        <v>11</v>
      </c>
      <c r="C10" s="6">
        <f>C8+7</f>
        <v>46287</v>
      </c>
      <c r="D10" s="11" t="s">
        <v>18</v>
      </c>
      <c r="E10" s="7" t="s">
        <v>61</v>
      </c>
      <c r="F10" s="7" t="s">
        <v>62</v>
      </c>
      <c r="G10" s="7" t="s">
        <v>64</v>
      </c>
      <c r="H10" s="7"/>
    </row>
    <row r="11" spans="1:9" ht="15.75" customHeight="1" x14ac:dyDescent="0.15">
      <c r="A11" s="1">
        <v>5</v>
      </c>
      <c r="B11" s="1" t="s">
        <v>11</v>
      </c>
      <c r="C11" s="6">
        <f>C10+2</f>
        <v>46289</v>
      </c>
      <c r="D11" s="8" t="s">
        <v>19</v>
      </c>
      <c r="E11" s="7" t="s">
        <v>65</v>
      </c>
      <c r="F11" s="7" t="s">
        <v>63</v>
      </c>
      <c r="G11" s="7" t="s">
        <v>67</v>
      </c>
      <c r="H11" s="7" t="s">
        <v>66</v>
      </c>
      <c r="I11" s="7"/>
    </row>
    <row r="12" spans="1:9" ht="15.75" customHeight="1" x14ac:dyDescent="0.15">
      <c r="A12" s="1">
        <v>6</v>
      </c>
      <c r="B12" s="1" t="s">
        <v>11</v>
      </c>
      <c r="C12" s="6">
        <f>C10+7</f>
        <v>46294</v>
      </c>
      <c r="D12" s="8" t="s">
        <v>19</v>
      </c>
      <c r="E12" s="7" t="s">
        <v>68</v>
      </c>
      <c r="F12" s="7" t="s">
        <v>70</v>
      </c>
      <c r="G12" s="7" t="s">
        <v>74</v>
      </c>
      <c r="H12" s="7" t="s">
        <v>73</v>
      </c>
      <c r="I12" s="7" t="s">
        <v>72</v>
      </c>
    </row>
    <row r="13" spans="1:9" ht="15.75" customHeight="1" x14ac:dyDescent="0.15">
      <c r="A13" s="1">
        <v>6</v>
      </c>
      <c r="B13" s="1" t="s">
        <v>11</v>
      </c>
      <c r="C13" s="6">
        <f>C12+2</f>
        <v>46296</v>
      </c>
      <c r="D13" s="8" t="s">
        <v>20</v>
      </c>
      <c r="E13" s="7" t="s">
        <v>69</v>
      </c>
      <c r="F13" s="7" t="s">
        <v>71</v>
      </c>
      <c r="G13" t="s">
        <v>78</v>
      </c>
      <c r="H13" s="7" t="s">
        <v>75</v>
      </c>
    </row>
    <row r="14" spans="1:9" ht="15.75" customHeight="1" x14ac:dyDescent="0.15">
      <c r="A14" s="1">
        <v>7</v>
      </c>
      <c r="B14" s="1" t="s">
        <v>11</v>
      </c>
      <c r="C14" s="6">
        <f>C12+7</f>
        <v>46301</v>
      </c>
      <c r="D14" s="8" t="s">
        <v>20</v>
      </c>
      <c r="E14" s="7" t="s">
        <v>76</v>
      </c>
      <c r="F14" s="7" t="s">
        <v>77</v>
      </c>
      <c r="G14" s="7" t="s">
        <v>82</v>
      </c>
      <c r="H14" s="7" t="s">
        <v>81</v>
      </c>
    </row>
    <row r="15" spans="1:9" ht="15.75" customHeight="1" x14ac:dyDescent="0.15">
      <c r="A15" s="1">
        <v>7</v>
      </c>
      <c r="B15" s="1" t="s">
        <v>11</v>
      </c>
      <c r="C15" s="6">
        <f>C14+2</f>
        <v>46303</v>
      </c>
      <c r="D15" s="8" t="s">
        <v>21</v>
      </c>
      <c r="E15" s="7" t="s">
        <v>79</v>
      </c>
      <c r="F15" s="7" t="s">
        <v>80</v>
      </c>
      <c r="G15" s="7" t="s">
        <v>84</v>
      </c>
      <c r="H15" s="7" t="s">
        <v>83</v>
      </c>
      <c r="I15" s="7"/>
    </row>
    <row r="16" spans="1:9" ht="15.75" customHeight="1" x14ac:dyDescent="0.15">
      <c r="A16" s="1">
        <v>8</v>
      </c>
      <c r="B16" s="1" t="s">
        <v>11</v>
      </c>
      <c r="C16" s="6">
        <f>C14+7</f>
        <v>46308</v>
      </c>
      <c r="D16" s="8" t="s">
        <v>21</v>
      </c>
      <c r="E16" s="7" t="s">
        <v>86</v>
      </c>
      <c r="F16" s="7" t="s">
        <v>85</v>
      </c>
      <c r="G16" s="7" t="s">
        <v>87</v>
      </c>
      <c r="H16" s="7"/>
    </row>
    <row r="17" spans="1:9" ht="15.75" customHeight="1" x14ac:dyDescent="0.15">
      <c r="A17" s="1">
        <v>8</v>
      </c>
      <c r="B17" s="1" t="s">
        <v>11</v>
      </c>
      <c r="C17" s="6">
        <f>C16+2</f>
        <v>46310</v>
      </c>
      <c r="D17" s="8" t="s">
        <v>22</v>
      </c>
      <c r="E17" s="7" t="s">
        <v>88</v>
      </c>
      <c r="F17" s="7" t="s">
        <v>89</v>
      </c>
      <c r="G17" s="7"/>
      <c r="H17" s="7"/>
      <c r="I17" s="7"/>
    </row>
    <row r="18" spans="1:9" ht="15.75" customHeight="1" x14ac:dyDescent="0.15">
      <c r="A18" s="12">
        <v>9</v>
      </c>
      <c r="B18" s="12" t="s">
        <v>11</v>
      </c>
      <c r="C18" s="13">
        <f>C16+7</f>
        <v>46315</v>
      </c>
      <c r="D18" s="14" t="s">
        <v>7</v>
      </c>
      <c r="E18" s="16"/>
      <c r="F18" s="16"/>
      <c r="G18" s="16"/>
    </row>
    <row r="19" spans="1:9" ht="15.75" customHeight="1" x14ac:dyDescent="0.15">
      <c r="A19" s="1">
        <v>9</v>
      </c>
      <c r="B19" s="1" t="s">
        <v>12</v>
      </c>
      <c r="C19" s="6">
        <f>C18+2</f>
        <v>46317</v>
      </c>
      <c r="D19" s="8" t="s">
        <v>23</v>
      </c>
      <c r="E19" s="7"/>
      <c r="F19" s="7"/>
      <c r="G19" s="7"/>
      <c r="I19" s="7"/>
    </row>
    <row r="20" spans="1:9" ht="15.75" customHeight="1" x14ac:dyDescent="0.15">
      <c r="A20" s="1">
        <v>10</v>
      </c>
      <c r="B20" s="1" t="s">
        <v>12</v>
      </c>
      <c r="C20" s="6">
        <f>C19+5</f>
        <v>46322</v>
      </c>
      <c r="D20" s="8" t="s">
        <v>23</v>
      </c>
      <c r="E20" s="7"/>
      <c r="F20" s="7"/>
      <c r="G20" s="7"/>
      <c r="H20" s="7"/>
    </row>
    <row r="21" spans="1:9" ht="15.75" customHeight="1" x14ac:dyDescent="0.15">
      <c r="A21" s="1">
        <v>10</v>
      </c>
      <c r="B21" s="1" t="s">
        <v>12</v>
      </c>
      <c r="C21" s="6">
        <f>C20+2</f>
        <v>46324</v>
      </c>
      <c r="D21" s="10" t="s">
        <v>26</v>
      </c>
      <c r="G21" s="7"/>
    </row>
    <row r="22" spans="1:9" ht="15.75" customHeight="1" x14ac:dyDescent="0.15">
      <c r="A22" s="1">
        <v>11</v>
      </c>
      <c r="B22" s="1" t="s">
        <v>12</v>
      </c>
      <c r="C22" s="6">
        <f>C21+5</f>
        <v>46329</v>
      </c>
      <c r="D22" s="10" t="s">
        <v>26</v>
      </c>
      <c r="G22" s="3"/>
      <c r="H22" s="1"/>
    </row>
    <row r="23" spans="1:9" ht="15.75" customHeight="1" x14ac:dyDescent="0.15">
      <c r="A23" s="1">
        <v>11</v>
      </c>
      <c r="B23" s="1" t="s">
        <v>12</v>
      </c>
      <c r="C23" s="6">
        <f>C22+2</f>
        <v>46331</v>
      </c>
      <c r="D23" s="10" t="s">
        <v>26</v>
      </c>
      <c r="G23" s="3"/>
    </row>
    <row r="24" spans="1:9" ht="15.75" customHeight="1" x14ac:dyDescent="0.15">
      <c r="A24" s="1">
        <v>12</v>
      </c>
      <c r="B24" s="1" t="s">
        <v>12</v>
      </c>
      <c r="C24" s="6">
        <f>C23+5</f>
        <v>46336</v>
      </c>
      <c r="D24" s="9" t="s">
        <v>27</v>
      </c>
      <c r="G24" s="3"/>
    </row>
    <row r="25" spans="1:9" ht="15.75" customHeight="1" x14ac:dyDescent="0.15">
      <c r="A25" s="1">
        <v>12</v>
      </c>
      <c r="B25" s="1" t="s">
        <v>12</v>
      </c>
      <c r="C25" s="6">
        <f>C24+2</f>
        <v>46338</v>
      </c>
      <c r="D25" s="9" t="s">
        <v>27</v>
      </c>
      <c r="G25" s="3"/>
    </row>
    <row r="26" spans="1:9" ht="15.75" customHeight="1" x14ac:dyDescent="0.15">
      <c r="A26" s="1">
        <v>13</v>
      </c>
      <c r="B26" s="1" t="s">
        <v>12</v>
      </c>
      <c r="C26" s="6">
        <f>C25+5</f>
        <v>46343</v>
      </c>
      <c r="D26" s="9" t="s">
        <v>27</v>
      </c>
      <c r="G26" s="3"/>
    </row>
    <row r="27" spans="1:9" ht="15.75" customHeight="1" x14ac:dyDescent="0.15">
      <c r="A27" s="12">
        <v>13</v>
      </c>
      <c r="B27" s="12" t="s">
        <v>12</v>
      </c>
      <c r="C27" s="13">
        <f>C26+2</f>
        <v>46345</v>
      </c>
      <c r="D27" s="17" t="s">
        <v>24</v>
      </c>
      <c r="E27" s="16"/>
      <c r="F27" s="16"/>
      <c r="G27" s="16"/>
      <c r="I27" s="1"/>
    </row>
    <row r="28" spans="1:9" ht="15.75" customHeight="1" x14ac:dyDescent="0.15">
      <c r="A28" s="1"/>
      <c r="B28" s="1" t="s">
        <v>12</v>
      </c>
      <c r="C28" s="6">
        <f>C27+5</f>
        <v>46350</v>
      </c>
      <c r="D28" s="7" t="s">
        <v>5</v>
      </c>
      <c r="G28" s="3"/>
      <c r="H28" s="2"/>
    </row>
    <row r="29" spans="1:9" ht="15.75" customHeight="1" x14ac:dyDescent="0.15">
      <c r="A29" s="1"/>
      <c r="B29" s="1" t="s">
        <v>12</v>
      </c>
      <c r="C29" s="6">
        <f>C28+2</f>
        <v>46352</v>
      </c>
      <c r="D29" s="7" t="s">
        <v>5</v>
      </c>
      <c r="G29" s="4"/>
    </row>
    <row r="30" spans="1:9" ht="15.75" customHeight="1" x14ac:dyDescent="0.15">
      <c r="A30" s="1">
        <v>14</v>
      </c>
      <c r="B30" s="1" t="s">
        <v>13</v>
      </c>
      <c r="C30" s="6">
        <f>C29+5</f>
        <v>46357</v>
      </c>
      <c r="D30" s="8" t="s">
        <v>25</v>
      </c>
      <c r="G30" s="5"/>
      <c r="I30" s="1"/>
    </row>
    <row r="31" spans="1:9" ht="15.75" customHeight="1" x14ac:dyDescent="0.15">
      <c r="A31" s="1">
        <v>14</v>
      </c>
      <c r="B31" s="1" t="s">
        <v>13</v>
      </c>
      <c r="C31" s="6">
        <f>C30+2</f>
        <v>46359</v>
      </c>
      <c r="D31" s="8" t="s">
        <v>25</v>
      </c>
      <c r="G31" s="4"/>
      <c r="I31" s="1"/>
    </row>
    <row r="32" spans="1:9" ht="15.75" customHeight="1" x14ac:dyDescent="0.15">
      <c r="A32" s="1">
        <v>15</v>
      </c>
      <c r="B32" s="1" t="s">
        <v>13</v>
      </c>
      <c r="C32" s="6">
        <f>C31+5</f>
        <v>46364</v>
      </c>
      <c r="D32" s="8" t="s">
        <v>25</v>
      </c>
      <c r="I32" s="1"/>
    </row>
    <row r="33" spans="1:9" ht="15.75" customHeight="1" x14ac:dyDescent="0.15">
      <c r="A33" s="1">
        <v>15</v>
      </c>
      <c r="B33" s="1" t="s">
        <v>13</v>
      </c>
      <c r="C33" s="6">
        <f>C32+2</f>
        <v>46366</v>
      </c>
      <c r="D33" s="1" t="s">
        <v>8</v>
      </c>
      <c r="G33" s="4"/>
    </row>
    <row r="34" spans="1:9" ht="15.75" customHeight="1" x14ac:dyDescent="0.15">
      <c r="C34" s="6"/>
      <c r="G34" s="2"/>
    </row>
    <row r="35" spans="1:9" ht="15.75" customHeight="1" x14ac:dyDescent="0.15">
      <c r="C35" s="6"/>
      <c r="G35" s="4"/>
      <c r="I35" s="1"/>
    </row>
    <row r="36" spans="1:9" ht="15.75" customHeight="1" x14ac:dyDescent="0.15">
      <c r="G36" s="4"/>
      <c r="I36" s="1"/>
    </row>
    <row r="37" spans="1:9" ht="15.75" customHeight="1" x14ac:dyDescent="0.15">
      <c r="G37" s="1"/>
    </row>
    <row r="39" spans="1:9" ht="13" x14ac:dyDescent="0.15">
      <c r="G39" s="2"/>
      <c r="H39" s="2"/>
    </row>
    <row r="40" spans="1:9" ht="13" x14ac:dyDescent="0.15">
      <c r="G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Zilber Mann</cp:lastModifiedBy>
  <dcterms:modified xsi:type="dcterms:W3CDTF">2026-10-14T05:32:20Z</dcterms:modified>
</cp:coreProperties>
</file>