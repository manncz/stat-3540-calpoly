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zmann/Documents/teaching/stat3540/0-course-info/canvas/"/>
    </mc:Choice>
  </mc:AlternateContent>
  <xr:revisionPtr revIDLastSave="0" documentId="13_ncr:1_{C61060CD-0182-CC4B-AFB4-E4EE2F9CD8B0}" xr6:coauthVersionLast="47" xr6:coauthVersionMax="47" xr10:uidLastSave="{00000000-0000-0000-0000-000000000000}"/>
  <bookViews>
    <workbookView xWindow="0" yWindow="660" windowWidth="30240" windowHeight="17880" xr2:uid="{BA0A3FFF-9577-8249-B793-6919848B638A}"/>
  </bookViews>
  <sheets>
    <sheet name="schedul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" i="2" l="1"/>
  <c r="B6" i="2" s="1"/>
  <c r="B8" i="2" s="1"/>
  <c r="B9" i="2" s="1"/>
  <c r="B11" i="2" s="1"/>
  <c r="B12" i="2" s="1"/>
  <c r="B14" i="2" s="1"/>
  <c r="B15" i="2" s="1"/>
  <c r="B17" i="2" s="1"/>
  <c r="B18" i="2" s="1"/>
  <c r="B20" i="2" s="1"/>
  <c r="B21" i="2" s="1"/>
  <c r="B23" i="2" s="1"/>
  <c r="B24" i="2" s="1"/>
  <c r="B26" i="2" s="1"/>
  <c r="B27" i="2" s="1"/>
  <c r="B29" i="2" s="1"/>
  <c r="B30" i="2" s="1"/>
  <c r="B32" i="2" s="1"/>
  <c r="B33" i="2" s="1"/>
  <c r="B35" i="2" s="1"/>
  <c r="B36" i="2" s="1"/>
  <c r="B38" i="2" s="1"/>
  <c r="B39" i="2" s="1"/>
  <c r="B44" i="2" s="1"/>
  <c r="B45" i="2" s="1"/>
  <c r="B47" i="2" s="1"/>
  <c r="B48" i="2" s="1"/>
  <c r="D3" i="2"/>
  <c r="D5" i="2" s="1"/>
  <c r="D6" i="2" s="1"/>
  <c r="D8" i="2" s="1"/>
  <c r="D9" i="2" s="1"/>
  <c r="D11" i="2" s="1"/>
  <c r="D12" i="2" s="1"/>
  <c r="D14" i="2" s="1"/>
  <c r="D15" i="2" s="1"/>
  <c r="D17" i="2" s="1"/>
  <c r="D18" i="2" s="1"/>
  <c r="D20" i="2" s="1"/>
  <c r="D21" i="2" s="1"/>
  <c r="D23" i="2" s="1"/>
  <c r="D24" i="2" s="1"/>
  <c r="D26" i="2" s="1"/>
  <c r="D27" i="2" s="1"/>
  <c r="D29" i="2" s="1"/>
  <c r="D30" i="2" s="1"/>
  <c r="D32" i="2" s="1"/>
  <c r="D33" i="2" s="1"/>
  <c r="D35" i="2" s="1"/>
  <c r="D36" i="2" s="1"/>
  <c r="D38" i="2" s="1"/>
  <c r="D39" i="2" s="1"/>
  <c r="D41" i="2" s="1"/>
  <c r="D42" i="2" s="1"/>
  <c r="D44" i="2" s="1"/>
  <c r="D45" i="2" s="1"/>
  <c r="D47" i="2" l="1"/>
  <c r="D48" i="2" s="1"/>
  <c r="D46" i="2"/>
  <c r="D50" i="2" l="1"/>
  <c r="D51" i="2" s="1"/>
  <c r="D49" i="2"/>
</calcChain>
</file>

<file path=xl/sharedStrings.xml><?xml version="1.0" encoding="utf-8"?>
<sst xmlns="http://schemas.openxmlformats.org/spreadsheetml/2006/main" count="136" uniqueCount="89">
  <si>
    <t>Week</t>
  </si>
  <si>
    <t>Day</t>
  </si>
  <si>
    <t>Date</t>
  </si>
  <si>
    <t>Topic</t>
  </si>
  <si>
    <t>Prep</t>
  </si>
  <si>
    <t xml:space="preserve">In Class </t>
  </si>
  <si>
    <t>Lab or Project Due</t>
  </si>
  <si>
    <t>T</t>
  </si>
  <si>
    <t>Mod 1: Introduction to Study Design</t>
  </si>
  <si>
    <t>Syllabus Video
Lecture Video: Basics of DOE</t>
  </si>
  <si>
    <t>Introductions + Activity 1.1</t>
  </si>
  <si>
    <t>Th</t>
  </si>
  <si>
    <t>Activity 1.2 + Start Lab 1</t>
  </si>
  <si>
    <t>Mod 2: CRD</t>
  </si>
  <si>
    <t>Lecture Video: Designing a CRD
Lecture Video: Analyzing a CRD (ANOVA)
Lecture Video: Statistical Models</t>
  </si>
  <si>
    <t>Activity 2.1</t>
  </si>
  <si>
    <t>Lecture Video: Inference for Means
Lecture Video: Contrasts
Lecture Video: Pairwise Comparisons</t>
  </si>
  <si>
    <t>Activity 2.2</t>
  </si>
  <si>
    <t>Mod 3: Power and Sample Size</t>
  </si>
  <si>
    <t>Lecture Video: Intro to Power</t>
  </si>
  <si>
    <t>Activity 3.1 + Start Lab 2</t>
  </si>
  <si>
    <t>Mod 4: Factorials</t>
  </si>
  <si>
    <t>Lecture Video: Designing a Factorial</t>
  </si>
  <si>
    <t>Activity 4.1</t>
  </si>
  <si>
    <t>Lecture Video: Statistical Model for a Factorial
Lecture Video: Analyzing a Factorial</t>
  </si>
  <si>
    <t>Activity 4.2</t>
  </si>
  <si>
    <t>Midterm Exam I</t>
  </si>
  <si>
    <t>Note: Dr. C out of town, another STAT faculty will proctor</t>
  </si>
  <si>
    <t>Lecture Video: 3-way factorial</t>
  </si>
  <si>
    <t>Mod 5: RCBD</t>
  </si>
  <si>
    <t>Lecture Video: Designing a RCBD
Lecture Video: Statistical Model for a RCBD
Lecture Video: Analyzing a RCBD</t>
  </si>
  <si>
    <t>Activity 5.1</t>
  </si>
  <si>
    <t>Lecture Video: RCBD + Factorials</t>
  </si>
  <si>
    <t>Mod 6: Random / Fixed Effects Models</t>
  </si>
  <si>
    <t>Lecture Video: Random vs Fixed Effects
Lecture Video: Mixed Model (Blocks)</t>
  </si>
  <si>
    <t>Lecture Video: Subsampling (random effects)</t>
  </si>
  <si>
    <t>Activity 6.2</t>
  </si>
  <si>
    <t>Mod 7: Extensions + Considerations</t>
  </si>
  <si>
    <t>Lecture Video: Generalized Block Designs
Lecture Video: Latin Square Designs
Lecture Video: Nested Treatment Structures</t>
  </si>
  <si>
    <t>Activity 7.2</t>
  </si>
  <si>
    <t xml:space="preserve">Note: Dr. C traveling this weekend </t>
  </si>
  <si>
    <t>Mod 8: Causal Inference</t>
  </si>
  <si>
    <t>Lab 3 due 10/16</t>
  </si>
  <si>
    <t>Midterm Exam II</t>
  </si>
  <si>
    <t>Mod 9: Observational Studies</t>
  </si>
  <si>
    <t>THANKSGIVING BREAK</t>
  </si>
  <si>
    <t>Mod 13: Putting it all Together!</t>
  </si>
  <si>
    <t>Project Slides due Wed 12/9</t>
  </si>
  <si>
    <t>Final Project Presentations</t>
  </si>
  <si>
    <t>Project Presentations</t>
  </si>
  <si>
    <t>SEC X03 Final Exam 16:00 - 18:30</t>
  </si>
  <si>
    <t>Project Letter of Learning due Wed 12/16</t>
  </si>
  <si>
    <t xml:space="preserve">SEC X01 Final Exam 7:00 - 9:30 </t>
  </si>
  <si>
    <t>SEC X02 Final Exam 10:00 - 12:30</t>
  </si>
  <si>
    <t>Discord and R / Rstudio Setup
Lecture Video: Controlling for Variability</t>
  </si>
  <si>
    <t>Lab Group Contract due 8/30</t>
  </si>
  <si>
    <t>Lab 1 due 9/8</t>
  </si>
  <si>
    <t>Lab 4 due 11/20</t>
  </si>
  <si>
    <t>Optional Lab 2 Proposal due 9/13</t>
  </si>
  <si>
    <t>Lab 2 data collection due 9/20</t>
  </si>
  <si>
    <t>Lab 2 work time</t>
  </si>
  <si>
    <t>Lab 2 due 9/29</t>
  </si>
  <si>
    <t xml:space="preserve">Activity 6.1 </t>
  </si>
  <si>
    <t>Activity 5.2 + Start Lab 3</t>
  </si>
  <si>
    <t>Lab 3 Optional Checkpoint 1 due 10/2</t>
  </si>
  <si>
    <t>Lab 3 data collection due 10/9</t>
  </si>
  <si>
    <t>Activity 7.1</t>
  </si>
  <si>
    <t>Lecture Video: Residuals aren't Normal
Lecture Video: Non-Constant Variance
Lecture Video: Non-Parametric Tests</t>
  </si>
  <si>
    <t>Lecture Video: Intro to Causal Inference
Lecture Video: Causal Inference with Randomized Experiments</t>
  </si>
  <si>
    <t>Activity 8.1</t>
  </si>
  <si>
    <t>Activity 9.1</t>
  </si>
  <si>
    <t>No prep!</t>
  </si>
  <si>
    <t>Mod 10: Survey Sampling</t>
  </si>
  <si>
    <t>Lecture Video: Survey Sampling Termonology
Lecture Video: Types of Sampling
Lecture Video: Simple Random Sample</t>
  </si>
  <si>
    <t>Lecture Video: Types of Errors
Lecture Video: Stratified Random Sampling</t>
  </si>
  <si>
    <t>Lecture Video: Estimation with Simple Random Sampling
Lecture Video: Estimation with Stratified Random Sampling</t>
  </si>
  <si>
    <t>Lecture Video: Systematic Sampling
Lecture Video: Estimation with Survey Weights</t>
  </si>
  <si>
    <t>Final Project Proposal due Wed 11/4</t>
  </si>
  <si>
    <t>Activity 9.2</t>
  </si>
  <si>
    <t>Introduce Lab 4
Activity 10.1</t>
  </si>
  <si>
    <t>Activity 10.2</t>
  </si>
  <si>
    <t>Activity 10.3</t>
  </si>
  <si>
    <t>Mod 11: Survey Weights</t>
  </si>
  <si>
    <t>Mod 12: Writing Survey Instruments</t>
  </si>
  <si>
    <t>Activity 11.1</t>
  </si>
  <si>
    <t>Activity 12 continued</t>
  </si>
  <si>
    <t>Activity 12</t>
  </si>
  <si>
    <t>Lab 4 checkpoint due Wed 11/11</t>
  </si>
  <si>
    <t>Lecture Video: Covariate Adjustment
Lecture Video: Types of Observational Studies
Lecture Video: Administrative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</si>
</sst>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;@"/>
  </numFmts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 wrapText="1"/>
    </xf>
    <xf numFmtId="0" fontId="0" fillId="3" borderId="2" xfId="0" applyFill="1" applyBorder="1" applyAlignment="1">
      <alignment horizontal="center" vertical="center"/>
    </xf>
    <xf numFmtId="164" fontId="0" fillId="3" borderId="2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vertical="center" wrapText="1"/>
    </xf>
    <xf numFmtId="0" fontId="4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0" fillId="5" borderId="0" xfId="0" applyFill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164" fontId="0" fillId="5" borderId="2" xfId="0" applyNumberFormat="1" applyFill="1" applyBorder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0" fontId="0" fillId="5" borderId="0" xfId="0" applyFill="1" applyAlignment="1">
      <alignment vertical="center" wrapText="1"/>
    </xf>
    <xf numFmtId="164" fontId="0" fillId="5" borderId="0" xfId="0" applyNumberFormat="1" applyFill="1" applyAlignment="1">
      <alignment horizontal="center" vertical="center"/>
    </xf>
    <xf numFmtId="0" fontId="0" fillId="5" borderId="0" xfId="0" applyFill="1" applyAlignment="1">
      <alignment vertical="center"/>
    </xf>
    <xf numFmtId="0" fontId="0" fillId="5" borderId="1" xfId="0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/>
    </xf>
    <xf numFmtId="0" fontId="0" fillId="4" borderId="0" xfId="0" applyFill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5" borderId="0" xfId="0" applyFill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FB71E-3535-E54A-BA2B-188557212004}">
  <dimension ref="A1:I52"/>
  <sheetViews>
    <sheetView tabSelected="1" topLeftCell="A21" zoomScale="150" zoomScaleNormal="150" zoomScaleSheetLayoutView="134" workbookViewId="0">
      <selection activeCell="G30" sqref="G30"/>
    </sheetView>
  </sheetViews>
  <sheetFormatPr baseColWidth="10" defaultColWidth="8.83203125" defaultRowHeight="15" x14ac:dyDescent="0.2"/>
  <cols>
    <col min="1" max="1" width="5.83203125" bestFit="1" customWidth="1"/>
    <col min="2" max="2" width="5" style="4" customWidth="1"/>
    <col min="3" max="3" width="3.6640625" style="4" customWidth="1"/>
    <col min="4" max="4" width="6.6640625" style="4" customWidth="1"/>
    <col min="5" max="5" width="33.5" style="6" customWidth="1"/>
    <col min="6" max="6" width="35.33203125" style="9" customWidth="1"/>
    <col min="7" max="7" width="21.5" style="9" customWidth="1"/>
    <col min="8" max="8" width="30.1640625" style="8" customWidth="1"/>
  </cols>
  <sheetData>
    <row r="1" spans="1:8" ht="16" x14ac:dyDescent="0.2">
      <c r="A1" s="1" t="s">
        <v>0</v>
      </c>
      <c r="B1" s="2" t="s">
        <v>1</v>
      </c>
      <c r="C1" s="2"/>
      <c r="D1" s="2" t="s">
        <v>2</v>
      </c>
      <c r="E1" s="3" t="s">
        <v>3</v>
      </c>
      <c r="F1" s="3" t="s">
        <v>4</v>
      </c>
      <c r="G1" s="3" t="s">
        <v>5</v>
      </c>
      <c r="H1" s="2" t="s">
        <v>6</v>
      </c>
    </row>
    <row r="2" spans="1:8" ht="32" x14ac:dyDescent="0.2">
      <c r="A2" s="49">
        <v>1</v>
      </c>
      <c r="B2" s="4">
        <v>1</v>
      </c>
      <c r="C2" s="4" t="s">
        <v>7</v>
      </c>
      <c r="D2" s="5">
        <v>46259</v>
      </c>
      <c r="E2" s="6" t="s">
        <v>8</v>
      </c>
      <c r="F2" s="7" t="s">
        <v>9</v>
      </c>
      <c r="G2" s="7" t="s">
        <v>10</v>
      </c>
    </row>
    <row r="3" spans="1:8" ht="32" x14ac:dyDescent="0.2">
      <c r="A3" s="49"/>
      <c r="B3" s="4">
        <v>2</v>
      </c>
      <c r="C3" s="4" t="s">
        <v>11</v>
      </c>
      <c r="D3" s="5">
        <f>D2+2</f>
        <v>46261</v>
      </c>
      <c r="E3" s="6" t="s">
        <v>8</v>
      </c>
      <c r="F3" s="9" t="s">
        <v>54</v>
      </c>
      <c r="G3" s="9" t="s">
        <v>12</v>
      </c>
    </row>
    <row r="4" spans="1:8" ht="20.75" customHeight="1" x14ac:dyDescent="0.2">
      <c r="A4" s="50"/>
      <c r="B4" s="10"/>
      <c r="C4" s="10"/>
      <c r="D4" s="11"/>
      <c r="E4" s="12"/>
      <c r="F4" s="13"/>
      <c r="G4" s="13"/>
      <c r="H4" s="14" t="s">
        <v>55</v>
      </c>
    </row>
    <row r="5" spans="1:8" ht="48" x14ac:dyDescent="0.2">
      <c r="A5" s="48">
        <v>2</v>
      </c>
      <c r="B5" s="15">
        <f>B3+1</f>
        <v>3</v>
      </c>
      <c r="C5" s="4" t="s">
        <v>7</v>
      </c>
      <c r="D5" s="16">
        <f>D3+5</f>
        <v>46266</v>
      </c>
      <c r="E5" s="17" t="s">
        <v>13</v>
      </c>
      <c r="F5" s="18" t="s">
        <v>14</v>
      </c>
      <c r="G5" s="8" t="s">
        <v>15</v>
      </c>
      <c r="H5" s="19"/>
    </row>
    <row r="6" spans="1:8" ht="48" x14ac:dyDescent="0.2">
      <c r="A6" s="49"/>
      <c r="B6" s="4">
        <f>B5+1</f>
        <v>4</v>
      </c>
      <c r="C6" s="4" t="s">
        <v>11</v>
      </c>
      <c r="D6" s="5">
        <f>D5+2</f>
        <v>46268</v>
      </c>
      <c r="E6" s="6" t="s">
        <v>13</v>
      </c>
      <c r="F6" s="9" t="s">
        <v>16</v>
      </c>
      <c r="G6" s="9" t="s">
        <v>17</v>
      </c>
    </row>
    <row r="7" spans="1:8" ht="20.75" customHeight="1" x14ac:dyDescent="0.2">
      <c r="A7" s="50"/>
      <c r="B7" s="10"/>
      <c r="C7" s="10"/>
      <c r="D7" s="11"/>
      <c r="E7" s="12"/>
      <c r="F7" s="13"/>
      <c r="G7" s="13"/>
      <c r="H7" s="14"/>
    </row>
    <row r="8" spans="1:8" ht="16" x14ac:dyDescent="0.2">
      <c r="A8" s="49">
        <v>3</v>
      </c>
      <c r="B8" s="4">
        <f>B6+1</f>
        <v>5</v>
      </c>
      <c r="C8" s="4" t="s">
        <v>7</v>
      </c>
      <c r="D8" s="16">
        <f>D6+5</f>
        <v>46273</v>
      </c>
      <c r="E8" s="20" t="s">
        <v>18</v>
      </c>
      <c r="F8" s="9" t="s">
        <v>19</v>
      </c>
      <c r="G8" s="9" t="s">
        <v>20</v>
      </c>
      <c r="H8" s="8" t="s">
        <v>56</v>
      </c>
    </row>
    <row r="9" spans="1:8" ht="20.75" customHeight="1" x14ac:dyDescent="0.2">
      <c r="A9" s="49"/>
      <c r="B9" s="4">
        <f>B8+1</f>
        <v>6</v>
      </c>
      <c r="C9" s="4" t="s">
        <v>11</v>
      </c>
      <c r="D9" s="5">
        <f>D8+2</f>
        <v>46275</v>
      </c>
      <c r="E9" s="20" t="s">
        <v>21</v>
      </c>
      <c r="F9" t="s">
        <v>22</v>
      </c>
      <c r="G9" t="s">
        <v>23</v>
      </c>
    </row>
    <row r="10" spans="1:8" ht="20.75" customHeight="1" x14ac:dyDescent="0.2">
      <c r="A10" s="50"/>
      <c r="B10" s="10"/>
      <c r="C10" s="10"/>
      <c r="D10" s="11"/>
      <c r="E10" s="12"/>
      <c r="F10" s="13"/>
      <c r="G10" s="13"/>
      <c r="H10" s="14" t="s">
        <v>58</v>
      </c>
    </row>
    <row r="11" spans="1:8" ht="32" x14ac:dyDescent="0.2">
      <c r="A11" s="48">
        <v>4</v>
      </c>
      <c r="B11" s="15">
        <f>B9+1</f>
        <v>7</v>
      </c>
      <c r="C11" s="4" t="s">
        <v>7</v>
      </c>
      <c r="D11" s="16">
        <f>D9+5</f>
        <v>46280</v>
      </c>
      <c r="E11" s="20" t="s">
        <v>21</v>
      </c>
      <c r="F11" s="9" t="s">
        <v>24</v>
      </c>
      <c r="G11" s="9" t="s">
        <v>25</v>
      </c>
    </row>
    <row r="12" spans="1:8" ht="20.75" customHeight="1" x14ac:dyDescent="0.2">
      <c r="A12" s="49"/>
      <c r="B12" s="21">
        <f>B11+1</f>
        <v>8</v>
      </c>
      <c r="C12" s="21" t="s">
        <v>11</v>
      </c>
      <c r="D12" s="22">
        <f>D11+2</f>
        <v>46282</v>
      </c>
      <c r="E12" s="23" t="s">
        <v>26</v>
      </c>
      <c r="F12" s="47" t="s">
        <v>27</v>
      </c>
      <c r="G12" s="47"/>
      <c r="H12" s="47"/>
    </row>
    <row r="13" spans="1:8" ht="20.75" customHeight="1" x14ac:dyDescent="0.2">
      <c r="A13" s="50"/>
      <c r="B13" s="10"/>
      <c r="C13" s="10"/>
      <c r="D13" s="11"/>
      <c r="E13" s="12"/>
      <c r="F13" s="13"/>
      <c r="G13" s="13"/>
      <c r="H13" s="31" t="s">
        <v>59</v>
      </c>
    </row>
    <row r="14" spans="1:8" ht="20.75" customHeight="1" x14ac:dyDescent="0.2">
      <c r="A14" s="48">
        <v>5</v>
      </c>
      <c r="B14" s="15">
        <f>B12+1</f>
        <v>9</v>
      </c>
      <c r="C14" s="4" t="s">
        <v>7</v>
      </c>
      <c r="D14" s="16">
        <f>D12+5</f>
        <v>46287</v>
      </c>
      <c r="E14" s="20" t="s">
        <v>21</v>
      </c>
      <c r="F14" s="9" t="s">
        <v>28</v>
      </c>
      <c r="G14" s="9" t="s">
        <v>60</v>
      </c>
      <c r="H14" s="19"/>
    </row>
    <row r="15" spans="1:8" ht="48" x14ac:dyDescent="0.2">
      <c r="A15" s="49"/>
      <c r="B15" s="4">
        <f>B14+1</f>
        <v>10</v>
      </c>
      <c r="C15" s="4" t="s">
        <v>11</v>
      </c>
      <c r="D15" s="5">
        <f>D14+2</f>
        <v>46289</v>
      </c>
      <c r="E15" s="6" t="s">
        <v>29</v>
      </c>
      <c r="F15" s="9" t="s">
        <v>30</v>
      </c>
      <c r="G15" s="9" t="s">
        <v>31</v>
      </c>
      <c r="H15" s="24"/>
    </row>
    <row r="16" spans="1:8" ht="20.75" customHeight="1" x14ac:dyDescent="0.2">
      <c r="A16" s="50"/>
      <c r="B16" s="10"/>
      <c r="C16" s="10"/>
      <c r="D16" s="11"/>
      <c r="E16" s="12"/>
      <c r="F16" s="13"/>
      <c r="G16" s="13"/>
      <c r="H16" s="14"/>
    </row>
    <row r="17" spans="1:9" ht="16" x14ac:dyDescent="0.2">
      <c r="A17" s="48">
        <v>6</v>
      </c>
      <c r="B17" s="15">
        <f>B15+1</f>
        <v>11</v>
      </c>
      <c r="C17" s="4" t="s">
        <v>7</v>
      </c>
      <c r="D17" s="16">
        <f>D15+5</f>
        <v>46294</v>
      </c>
      <c r="E17" s="6" t="s">
        <v>29</v>
      </c>
      <c r="F17" s="9" t="s">
        <v>32</v>
      </c>
      <c r="G17" s="9" t="s">
        <v>63</v>
      </c>
      <c r="H17" s="9" t="s">
        <v>61</v>
      </c>
    </row>
    <row r="18" spans="1:9" ht="32" x14ac:dyDescent="0.2">
      <c r="A18" s="49"/>
      <c r="B18" s="4">
        <f>B17+1</f>
        <v>12</v>
      </c>
      <c r="C18" s="4" t="s">
        <v>11</v>
      </c>
      <c r="D18" s="5">
        <f>D17+2</f>
        <v>46296</v>
      </c>
      <c r="E18" s="6" t="s">
        <v>33</v>
      </c>
      <c r="F18" s="9" t="s">
        <v>34</v>
      </c>
      <c r="G18" s="9" t="s">
        <v>62</v>
      </c>
    </row>
    <row r="19" spans="1:9" ht="20" customHeight="1" x14ac:dyDescent="0.2">
      <c r="A19" s="50"/>
      <c r="B19" s="10"/>
      <c r="C19" s="10"/>
      <c r="D19" s="11"/>
      <c r="F19" s="13"/>
      <c r="G19" s="13"/>
      <c r="H19" s="25" t="s">
        <v>64</v>
      </c>
    </row>
    <row r="20" spans="1:9" ht="20.75" customHeight="1" x14ac:dyDescent="0.2">
      <c r="A20" s="48">
        <v>7</v>
      </c>
      <c r="B20" s="15">
        <f>B18+1</f>
        <v>13</v>
      </c>
      <c r="C20" s="4" t="s">
        <v>7</v>
      </c>
      <c r="D20" s="16">
        <f>D18+5</f>
        <v>46301</v>
      </c>
      <c r="E20" s="17" t="s">
        <v>33</v>
      </c>
      <c r="F20" t="s">
        <v>35</v>
      </c>
      <c r="G20" s="9" t="s">
        <v>36</v>
      </c>
      <c r="H20" s="18"/>
    </row>
    <row r="21" spans="1:9" ht="48" x14ac:dyDescent="0.2">
      <c r="A21" s="49"/>
      <c r="B21" s="4">
        <f>B20+1</f>
        <v>14</v>
      </c>
      <c r="C21" s="4" t="s">
        <v>11</v>
      </c>
      <c r="D21" s="5">
        <f>D20+2</f>
        <v>46303</v>
      </c>
      <c r="E21" s="6" t="s">
        <v>37</v>
      </c>
      <c r="F21" s="9" t="s">
        <v>38</v>
      </c>
      <c r="G21" s="9" t="s">
        <v>66</v>
      </c>
      <c r="H21" s="31" t="s">
        <v>65</v>
      </c>
    </row>
    <row r="22" spans="1:9" ht="20.75" customHeight="1" x14ac:dyDescent="0.2">
      <c r="A22" s="50"/>
      <c r="B22" s="10"/>
      <c r="C22" s="10"/>
      <c r="D22" s="11"/>
      <c r="F22" s="51" t="s">
        <v>40</v>
      </c>
      <c r="G22" s="51"/>
      <c r="H22" s="51"/>
    </row>
    <row r="23" spans="1:9" ht="48" x14ac:dyDescent="0.2">
      <c r="A23" s="48">
        <v>8</v>
      </c>
      <c r="B23" s="15">
        <f>B21+1</f>
        <v>15</v>
      </c>
      <c r="C23" s="4" t="s">
        <v>7</v>
      </c>
      <c r="D23" s="16">
        <f>D21+5</f>
        <v>46308</v>
      </c>
      <c r="E23" s="17" t="s">
        <v>37</v>
      </c>
      <c r="F23" s="18" t="s">
        <v>67</v>
      </c>
      <c r="G23" s="18" t="s">
        <v>39</v>
      </c>
      <c r="H23" s="18"/>
      <c r="I23" s="8"/>
    </row>
    <row r="24" spans="1:9" ht="48" x14ac:dyDescent="0.2">
      <c r="A24" s="49"/>
      <c r="B24" s="4">
        <f>B23+1</f>
        <v>16</v>
      </c>
      <c r="C24" s="4" t="s">
        <v>11</v>
      </c>
      <c r="D24" s="5">
        <f>D23+2</f>
        <v>46310</v>
      </c>
      <c r="E24" s="6" t="s">
        <v>41</v>
      </c>
      <c r="F24" s="9" t="s">
        <v>68</v>
      </c>
      <c r="G24" s="9" t="s">
        <v>69</v>
      </c>
      <c r="H24" s="26"/>
    </row>
    <row r="25" spans="1:9" ht="20.75" customHeight="1" x14ac:dyDescent="0.2">
      <c r="A25" s="50"/>
      <c r="B25" s="10"/>
      <c r="C25" s="10"/>
      <c r="D25" s="11"/>
      <c r="F25" s="13"/>
      <c r="G25" s="13"/>
      <c r="H25" s="14" t="s">
        <v>42</v>
      </c>
    </row>
    <row r="26" spans="1:9" ht="20.75" customHeight="1" x14ac:dyDescent="0.2">
      <c r="A26" s="48">
        <v>9</v>
      </c>
      <c r="B26" s="27">
        <f>B24+1</f>
        <v>17</v>
      </c>
      <c r="C26" s="21" t="s">
        <v>7</v>
      </c>
      <c r="D26" s="28">
        <f>D24+5</f>
        <v>46315</v>
      </c>
      <c r="E26" s="29" t="s">
        <v>43</v>
      </c>
      <c r="F26" s="30"/>
      <c r="G26" s="30"/>
      <c r="H26" s="30"/>
    </row>
    <row r="27" spans="1:9" ht="20.75" customHeight="1" x14ac:dyDescent="0.2">
      <c r="A27" s="49"/>
      <c r="B27" s="4">
        <f>B26+1</f>
        <v>18</v>
      </c>
      <c r="C27" s="4" t="s">
        <v>11</v>
      </c>
      <c r="D27" s="5">
        <f>D26+2</f>
        <v>46317</v>
      </c>
      <c r="E27" s="6" t="s">
        <v>44</v>
      </c>
      <c r="F27" s="9" t="s">
        <v>71</v>
      </c>
      <c r="G27" s="9" t="s">
        <v>70</v>
      </c>
      <c r="H27" s="31"/>
    </row>
    <row r="28" spans="1:9" ht="20.75" customHeight="1" x14ac:dyDescent="0.2">
      <c r="A28" s="50"/>
      <c r="B28" s="10"/>
      <c r="C28" s="10"/>
      <c r="D28" s="11"/>
      <c r="E28" s="12"/>
      <c r="F28" s="13"/>
      <c r="G28" s="13"/>
      <c r="H28" s="14"/>
    </row>
    <row r="29" spans="1:9" ht="48" x14ac:dyDescent="0.2">
      <c r="A29" s="49">
        <v>10</v>
      </c>
      <c r="B29" s="15">
        <f>B27+1</f>
        <v>19</v>
      </c>
      <c r="C29" s="4" t="s">
        <v>7</v>
      </c>
      <c r="D29" s="16">
        <f>D27+5</f>
        <v>46322</v>
      </c>
      <c r="E29" s="6" t="s">
        <v>44</v>
      </c>
      <c r="F29" s="9" t="s">
        <v>88</v>
      </c>
      <c r="G29" s="9" t="s">
        <v>78</v>
      </c>
      <c r="H29" s="9"/>
    </row>
    <row r="30" spans="1:9" ht="48" x14ac:dyDescent="0.2">
      <c r="A30" s="49"/>
      <c r="B30" s="4">
        <f>B29+1</f>
        <v>20</v>
      </c>
      <c r="C30" s="4" t="s">
        <v>11</v>
      </c>
      <c r="D30" s="5">
        <f>D29+2</f>
        <v>46324</v>
      </c>
      <c r="E30" s="6" t="s">
        <v>72</v>
      </c>
      <c r="F30" s="9" t="s">
        <v>73</v>
      </c>
      <c r="G30" s="9" t="s">
        <v>79</v>
      </c>
    </row>
    <row r="31" spans="1:9" ht="20.75" customHeight="1" x14ac:dyDescent="0.2">
      <c r="A31" s="50"/>
      <c r="B31" s="10"/>
      <c r="C31" s="10"/>
      <c r="D31" s="11"/>
      <c r="E31" s="32"/>
      <c r="F31" s="33"/>
      <c r="G31" s="33"/>
      <c r="H31" s="34"/>
    </row>
    <row r="32" spans="1:9" ht="32" x14ac:dyDescent="0.2">
      <c r="A32" s="49">
        <v>11</v>
      </c>
      <c r="B32" s="15">
        <f>B30+1</f>
        <v>21</v>
      </c>
      <c r="C32" s="4" t="s">
        <v>7</v>
      </c>
      <c r="D32" s="16">
        <f>D30+5</f>
        <v>46329</v>
      </c>
      <c r="E32" s="6" t="s">
        <v>72</v>
      </c>
      <c r="F32" s="9" t="s">
        <v>74</v>
      </c>
      <c r="G32" s="9" t="s">
        <v>80</v>
      </c>
      <c r="H32" s="9" t="s">
        <v>77</v>
      </c>
    </row>
    <row r="33" spans="1:8" ht="64" x14ac:dyDescent="0.2">
      <c r="A33" s="49"/>
      <c r="B33" s="4">
        <f>B32+1</f>
        <v>22</v>
      </c>
      <c r="C33" s="4" t="s">
        <v>11</v>
      </c>
      <c r="D33" s="5">
        <f>D32+2</f>
        <v>46331</v>
      </c>
      <c r="E33" s="6" t="s">
        <v>72</v>
      </c>
      <c r="F33" s="9" t="s">
        <v>75</v>
      </c>
      <c r="G33" s="9" t="s">
        <v>81</v>
      </c>
    </row>
    <row r="34" spans="1:8" x14ac:dyDescent="0.2">
      <c r="A34" s="50"/>
      <c r="B34" s="10"/>
      <c r="C34" s="10"/>
      <c r="D34" s="11"/>
      <c r="E34" s="32"/>
      <c r="F34" s="33"/>
      <c r="G34" s="33"/>
      <c r="H34" s="34"/>
    </row>
    <row r="35" spans="1:8" ht="44" customHeight="1" x14ac:dyDescent="0.2">
      <c r="A35" s="49">
        <v>12</v>
      </c>
      <c r="B35" s="15">
        <f>B33+1</f>
        <v>23</v>
      </c>
      <c r="C35" s="4" t="s">
        <v>7</v>
      </c>
      <c r="D35" s="16">
        <f>D33+5</f>
        <v>46336</v>
      </c>
      <c r="E35" s="6" t="s">
        <v>82</v>
      </c>
      <c r="F35" s="9" t="s">
        <v>76</v>
      </c>
      <c r="G35" s="9" t="s">
        <v>84</v>
      </c>
      <c r="H35" s="8" t="s">
        <v>87</v>
      </c>
    </row>
    <row r="36" spans="1:8" ht="16" x14ac:dyDescent="0.2">
      <c r="A36" s="49"/>
      <c r="B36" s="4">
        <f>B35+1</f>
        <v>24</v>
      </c>
      <c r="C36" s="4" t="s">
        <v>11</v>
      </c>
      <c r="D36" s="5">
        <f>D35+2</f>
        <v>46338</v>
      </c>
      <c r="E36" s="6" t="s">
        <v>83</v>
      </c>
      <c r="G36" s="9" t="s">
        <v>86</v>
      </c>
    </row>
    <row r="37" spans="1:8" x14ac:dyDescent="0.2">
      <c r="A37" s="50"/>
      <c r="B37" s="10"/>
      <c r="C37" s="10"/>
      <c r="D37" s="11"/>
      <c r="E37" s="32"/>
      <c r="F37" s="33"/>
      <c r="G37" s="33"/>
      <c r="H37" s="34"/>
    </row>
    <row r="38" spans="1:8" ht="16" x14ac:dyDescent="0.2">
      <c r="A38" s="49">
        <v>13</v>
      </c>
      <c r="B38" s="15">
        <f>B36+1</f>
        <v>25</v>
      </c>
      <c r="C38" s="4" t="s">
        <v>7</v>
      </c>
      <c r="D38" s="16">
        <f>D36+5</f>
        <v>46343</v>
      </c>
      <c r="E38" s="6" t="s">
        <v>83</v>
      </c>
      <c r="G38" s="9" t="s">
        <v>85</v>
      </c>
      <c r="H38" s="9"/>
    </row>
    <row r="39" spans="1:8" ht="16" x14ac:dyDescent="0.2">
      <c r="A39" s="49"/>
      <c r="B39" s="4">
        <f>B38+1</f>
        <v>26</v>
      </c>
      <c r="C39" s="4" t="s">
        <v>11</v>
      </c>
      <c r="D39" s="5">
        <f>D38+2</f>
        <v>46345</v>
      </c>
      <c r="E39" s="6" t="s">
        <v>83</v>
      </c>
      <c r="G39" s="9" t="s">
        <v>85</v>
      </c>
    </row>
    <row r="40" spans="1:8" x14ac:dyDescent="0.2">
      <c r="A40" s="50"/>
      <c r="B40" s="10"/>
      <c r="C40" s="10"/>
      <c r="D40" s="11"/>
      <c r="E40" s="32"/>
      <c r="F40" s="33"/>
      <c r="G40" s="33"/>
      <c r="H40" s="25" t="s">
        <v>57</v>
      </c>
    </row>
    <row r="41" spans="1:8" x14ac:dyDescent="0.2">
      <c r="A41" s="54"/>
      <c r="B41" s="36"/>
      <c r="C41" s="35" t="s">
        <v>7</v>
      </c>
      <c r="D41" s="37">
        <f>D39+5</f>
        <v>46350</v>
      </c>
      <c r="E41" s="38"/>
      <c r="F41" s="39"/>
      <c r="G41" s="39"/>
      <c r="H41" s="39"/>
    </row>
    <row r="42" spans="1:8" ht="16" x14ac:dyDescent="0.2">
      <c r="A42" s="54"/>
      <c r="B42" s="35"/>
      <c r="C42" s="35" t="s">
        <v>11</v>
      </c>
      <c r="D42" s="40">
        <f>D41+2</f>
        <v>46352</v>
      </c>
      <c r="E42" s="38" t="s">
        <v>45</v>
      </c>
      <c r="F42" s="39"/>
      <c r="G42" s="39"/>
      <c r="H42" s="41"/>
    </row>
    <row r="43" spans="1:8" x14ac:dyDescent="0.2">
      <c r="A43" s="55"/>
      <c r="B43" s="42"/>
      <c r="C43" s="42"/>
      <c r="D43" s="43"/>
      <c r="E43" s="44"/>
      <c r="F43" s="45"/>
      <c r="G43" s="45"/>
      <c r="H43" s="46"/>
    </row>
    <row r="44" spans="1:8" ht="16" x14ac:dyDescent="0.2">
      <c r="A44" s="49">
        <v>14</v>
      </c>
      <c r="B44" s="15">
        <f>B39+1</f>
        <v>27</v>
      </c>
      <c r="C44" s="4" t="s">
        <v>7</v>
      </c>
      <c r="D44" s="16">
        <f>D42+5</f>
        <v>46357</v>
      </c>
      <c r="E44" s="6" t="s">
        <v>46</v>
      </c>
      <c r="H44" s="9"/>
    </row>
    <row r="45" spans="1:8" ht="16" x14ac:dyDescent="0.2">
      <c r="A45" s="49"/>
      <c r="B45" s="4">
        <f>B44+1</f>
        <v>28</v>
      </c>
      <c r="C45" s="4" t="s">
        <v>11</v>
      </c>
      <c r="D45" s="5">
        <f>D44+2</f>
        <v>46359</v>
      </c>
      <c r="E45" s="6" t="s">
        <v>46</v>
      </c>
    </row>
    <row r="46" spans="1:8" x14ac:dyDescent="0.2">
      <c r="A46" s="50"/>
      <c r="B46" s="10"/>
      <c r="C46" s="10"/>
      <c r="D46" s="11">
        <f>D45+2</f>
        <v>46361</v>
      </c>
      <c r="E46" s="32"/>
      <c r="F46" s="33"/>
      <c r="G46" s="33"/>
      <c r="H46" s="34"/>
    </row>
    <row r="47" spans="1:8" ht="16" x14ac:dyDescent="0.2">
      <c r="A47" s="49">
        <v>15</v>
      </c>
      <c r="B47" s="15">
        <f>B45+1</f>
        <v>29</v>
      </c>
      <c r="C47" s="4" t="s">
        <v>7</v>
      </c>
      <c r="D47" s="16">
        <f>D45+5</f>
        <v>46364</v>
      </c>
      <c r="E47" s="6" t="s">
        <v>46</v>
      </c>
      <c r="H47" s="8" t="s">
        <v>47</v>
      </c>
    </row>
    <row r="48" spans="1:8" ht="16" x14ac:dyDescent="0.2">
      <c r="A48" s="49"/>
      <c r="B48" s="4">
        <f>B47+1</f>
        <v>30</v>
      </c>
      <c r="C48" s="4" t="s">
        <v>11</v>
      </c>
      <c r="D48" s="5">
        <f>D47+2</f>
        <v>46366</v>
      </c>
      <c r="E48" s="6" t="s">
        <v>48</v>
      </c>
      <c r="H48" s="8" t="s">
        <v>49</v>
      </c>
    </row>
    <row r="49" spans="1:8" x14ac:dyDescent="0.2">
      <c r="A49" s="50"/>
      <c r="B49" s="10"/>
      <c r="C49" s="10"/>
      <c r="D49" s="11">
        <f>D48+2</f>
        <v>46368</v>
      </c>
      <c r="E49" s="32"/>
      <c r="F49" s="33"/>
      <c r="G49" s="33"/>
      <c r="H49" s="34"/>
    </row>
    <row r="50" spans="1:8" ht="16" x14ac:dyDescent="0.2">
      <c r="A50" s="49"/>
      <c r="B50" s="15"/>
      <c r="C50" s="4" t="s">
        <v>7</v>
      </c>
      <c r="D50" s="16">
        <f>D48+5</f>
        <v>46371</v>
      </c>
      <c r="E50" s="6" t="s">
        <v>50</v>
      </c>
      <c r="H50" s="52" t="s">
        <v>51</v>
      </c>
    </row>
    <row r="51" spans="1:8" ht="16" x14ac:dyDescent="0.2">
      <c r="A51" s="49"/>
      <c r="C51" s="4" t="s">
        <v>11</v>
      </c>
      <c r="D51" s="5">
        <f>D50+2</f>
        <v>46373</v>
      </c>
      <c r="E51" s="6" t="s">
        <v>52</v>
      </c>
      <c r="H51" s="53"/>
    </row>
    <row r="52" spans="1:8" ht="16" x14ac:dyDescent="0.2">
      <c r="A52" s="50"/>
      <c r="B52" s="10"/>
      <c r="C52" s="10"/>
      <c r="D52" s="11"/>
      <c r="E52" s="12" t="s">
        <v>53</v>
      </c>
      <c r="F52" s="33"/>
      <c r="G52" s="33"/>
      <c r="H52" s="34"/>
    </row>
  </sheetData>
  <mergeCells count="20">
    <mergeCell ref="A50:A52"/>
    <mergeCell ref="H50:H51"/>
    <mergeCell ref="A32:A34"/>
    <mergeCell ref="A35:A37"/>
    <mergeCell ref="A38:A40"/>
    <mergeCell ref="A41:A43"/>
    <mergeCell ref="A44:A46"/>
    <mergeCell ref="A47:A49"/>
    <mergeCell ref="F12:H12"/>
    <mergeCell ref="A14:A16"/>
    <mergeCell ref="A29:A31"/>
    <mergeCell ref="A2:A4"/>
    <mergeCell ref="A5:A7"/>
    <mergeCell ref="A8:A10"/>
    <mergeCell ref="A11:A13"/>
    <mergeCell ref="A17:A19"/>
    <mergeCell ref="A20:A22"/>
    <mergeCell ref="F22:H22"/>
    <mergeCell ref="A23:A25"/>
    <mergeCell ref="A26:A28"/>
  </mergeCells>
  <pageMargins left="0.7" right="0.7" top="0.75" bottom="0.75" header="0.3" footer="0.3"/>
  <pageSetup scale="78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Charlotte Zilber Mann</dc:creator>
  <cp:lastModifiedBy>Charlotte Zilber Mann</cp:lastModifiedBy>
  <dcterms:created xsi:type="dcterms:W3CDTF">2026-08-13T18:53:15Z</dcterms:created>
  <dcterms:modified xsi:type="dcterms:W3CDTF">2026-10-21T20:42:37Z</dcterms:modified>
</cp:coreProperties>
</file>