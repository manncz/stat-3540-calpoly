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czmann/Documents/teaching/stat3540/0-course-info/"/>
    </mc:Choice>
  </mc:AlternateContent>
  <xr:revisionPtr revIDLastSave="0" documentId="13_ncr:1_{F50E0F2F-0771-984C-BC05-686B9958A6E8}" xr6:coauthVersionLast="47" xr6:coauthVersionMax="47" xr10:uidLastSave="{00000000-0000-0000-0000-000000000000}"/>
  <bookViews>
    <workbookView xWindow="0" yWindow="660" windowWidth="30240" windowHeight="17880" xr2:uid="{44A96070-E6A5-4735-BA92-AD6DC359C4CB}"/>
  </bookViews>
  <sheets>
    <sheet name="schedule" sheetId="1" r:id="rId1"/>
    <sheet name="weekly" sheetId="2" r:id="rId2"/>
    <sheet name="--&gt;" sheetId="5" r:id="rId3"/>
    <sheet name="CLOS" sheetId="3" r:id="rId4"/>
    <sheet name="details" sheetId="4" r:id="rId5"/>
  </sheets>
  <definedNames>
    <definedName name="_xlnm.Print_Area" localSheetId="1">weekly!$B$4:$H$9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5" i="1" s="1"/>
  <c r="B5" i="1"/>
  <c r="B6" i="1" s="1"/>
  <c r="B8" i="1" s="1"/>
  <c r="B9" i="1" s="1"/>
  <c r="B11" i="1" s="1"/>
  <c r="B12" i="1" s="1"/>
  <c r="B14" i="1" s="1"/>
  <c r="B15" i="1" s="1"/>
  <c r="B17" i="1" s="1"/>
  <c r="B18" i="1" s="1"/>
  <c r="B20" i="1" s="1"/>
  <c r="B21" i="1" s="1"/>
  <c r="D6" i="1" l="1"/>
  <c r="B23" i="1"/>
  <c r="B24" i="1" s="1"/>
  <c r="B26" i="1" s="1"/>
  <c r="B27" i="1" s="1"/>
  <c r="B29" i="1" s="1"/>
  <c r="B30" i="1" s="1"/>
  <c r="B32" i="1" s="1"/>
  <c r="B33" i="1" s="1"/>
  <c r="B35" i="1" s="1"/>
  <c r="B36" i="1" s="1"/>
  <c r="B38" i="1" s="1"/>
  <c r="B39" i="1" s="1"/>
  <c r="B44" i="1" s="1"/>
  <c r="B45" i="1" s="1"/>
  <c r="B47" i="1" s="1"/>
  <c r="B48" i="1" s="1"/>
  <c r="D8" i="1" l="1"/>
  <c r="D9" i="1" l="1"/>
  <c r="D11" i="1" l="1"/>
  <c r="D12" i="1" l="1"/>
  <c r="D14" i="1" l="1"/>
  <c r="D15" i="1" l="1"/>
  <c r="D17" i="1" l="1"/>
  <c r="D18" i="1" l="1"/>
  <c r="D20" i="1" s="1"/>
  <c r="D21" i="1" s="1"/>
  <c r="D23" i="1" l="1"/>
  <c r="D24" i="1" l="1"/>
  <c r="D26" i="1" l="1"/>
  <c r="D27" i="1" s="1"/>
  <c r="D29" i="1" l="1"/>
  <c r="D30" i="1" l="1"/>
  <c r="D32" i="1" l="1"/>
  <c r="D33" i="1" s="1"/>
  <c r="D35" i="1" l="1"/>
  <c r="D36" i="1" s="1"/>
  <c r="D38" i="1" l="1"/>
  <c r="D39" i="1" s="1"/>
  <c r="D41" i="1" l="1"/>
  <c r="D42" i="1" s="1"/>
  <c r="D44" i="1" l="1"/>
  <c r="D45" i="1" s="1"/>
  <c r="D46" i="1" l="1"/>
  <c r="D47" i="1"/>
  <c r="D48" i="1" s="1"/>
  <c r="D49" i="1" l="1"/>
  <c r="D50" i="1"/>
  <c r="D51" i="1" s="1"/>
</calcChain>
</file>

<file path=xl/sharedStrings.xml><?xml version="1.0" encoding="utf-8"?>
<sst xmlns="http://schemas.openxmlformats.org/spreadsheetml/2006/main" count="188" uniqueCount="131">
  <si>
    <t>Day</t>
  </si>
  <si>
    <t>Week</t>
  </si>
  <si>
    <t>Date</t>
  </si>
  <si>
    <t>T</t>
  </si>
  <si>
    <t>Topic</t>
  </si>
  <si>
    <t>Sun</t>
  </si>
  <si>
    <t>Mon</t>
  </si>
  <si>
    <t>Tue</t>
  </si>
  <si>
    <t>Wed</t>
  </si>
  <si>
    <t>Thu</t>
  </si>
  <si>
    <t>Fri</t>
  </si>
  <si>
    <t>Sat</t>
  </si>
  <si>
    <t>Th</t>
  </si>
  <si>
    <t>Lab due</t>
  </si>
  <si>
    <t>lecture</t>
  </si>
  <si>
    <t>practice activity</t>
  </si>
  <si>
    <t>lab work time</t>
  </si>
  <si>
    <t>PA due</t>
  </si>
  <si>
    <t>group quiz</t>
  </si>
  <si>
    <t>finish Lab and review previous week's material</t>
  </si>
  <si>
    <t>OH: 9:30 - 11am</t>
  </si>
  <si>
    <t>OH: 1:30 - 3pm</t>
  </si>
  <si>
    <t>THANKSGIVING BREAK</t>
  </si>
  <si>
    <t>SEC X02 Final Exam 10:00 - 12:30</t>
  </si>
  <si>
    <t xml:space="preserve">SEC X01 Final Exam 7:00 - 9:30 </t>
  </si>
  <si>
    <t>SEC X03 Final Exam 16:00 - 18:30</t>
  </si>
  <si>
    <t>Study designs to address statistical research questions. Ethical considerations when designing studies and analyzing data. Experimental designs, completely randomized, block designs, factorial, and nested designs. Survey planning, execution, and analysis. Survey research, non-sampling, and sampling errors. Use of weights in surveys. Estimate parameters and calculate sample size.</t>
  </si>
  <si>
    <t>Communicate the ethical implications of research questions, study designs, and analysis choices.</t>
  </si>
  <si>
    <t>Determine which type of study (observational or experimental) is appropriate given a research context.</t>
  </si>
  <si>
    <t>Design and explain a plan for conducting an experiment (e.g., RCBD) or a sample survey (e.g., stratified sample design).</t>
  </si>
  <si>
    <t>Analyze data by applying an appropriate model that accounts for the study design and attempts to isolate and quantify the effects of the factors of interest.</t>
  </si>
  <si>
    <t>Describe the limitations of study designs and propose alternative designs.</t>
  </si>
  <si>
    <t>Produce a written and/or oral summary of an appropriate study design and analysis.</t>
  </si>
  <si>
    <t>Oehlert, Ch. 1</t>
  </si>
  <si>
    <t>Variation in a response variable, and the sources of variation; considerations to make when deciding on a study design</t>
  </si>
  <si>
    <t>Computer assignment, Quiz</t>
  </si>
  <si>
    <t>Oehlert, Ch. 2, 3</t>
  </si>
  <si>
    <t>Ways to reduce variation in the response variable via study design (e.g. inclusion/exclusion criteria); review of design and analysis of experiments with a one-way treatment structure and completely randomized design (CRD)</t>
  </si>
  <si>
    <t>HW, Quiz</t>
  </si>
  <si>
    <t>Oehlert, Ch. 4, 5</t>
  </si>
  <si>
    <t>Post-hoc comparisons and assumptions in the context of CRD with one-way treatment structure</t>
  </si>
  <si>
    <t>Oehlert, Ch. 8</t>
  </si>
  <si>
    <t>Design and analysis of experiments with a factorial treatment structure and completely randomized design (CRD); post-hoc comparisons; assumptions</t>
  </si>
  <si>
    <t>Oehlert, Ch. 7</t>
  </si>
  <si>
    <t>Power and sample size</t>
  </si>
  <si>
    <t>Computer assignment, Exam 1</t>
  </si>
  <si>
    <t>Oehlert, Ch. 13</t>
  </si>
  <si>
    <t>Design and analysis of experiments with a randomized complete block design (RCBD); post-hoc comparisons; assumptions</t>
  </si>
  <si>
    <t>HW, Quiz, start Project</t>
  </si>
  <si>
    <t>Oehlert, Ch. 11, 13</t>
  </si>
  <si>
    <t>Random versus fixed effects; design and analysis of experiments with a Latin square design</t>
  </si>
  <si>
    <t>Oehlert, Ch. 12, 13</t>
  </si>
  <si>
    <t>Oehlert, Ch. 17</t>
  </si>
  <si>
    <t>Adjusting for extraneous sources of variation through analysis in observational studies (e.g. adjusted sums of squares, adjusted effects)</t>
  </si>
  <si>
    <t>Exam 2, Computer assignment</t>
  </si>
  <si>
    <t>Scheaffer, Ch. 1, 2</t>
  </si>
  <si>
    <t>Introduction to the field of Survey Research; steps in planning and implementing a scientific survey; key differences between survey research and DOE; survey research organizations and surveys</t>
  </si>
  <si>
    <t>Scheaffer, Ch. 2, 4, 5, 7, 8, 11</t>
  </si>
  <si>
    <t>Sampling issues (e.g. selection, measurement), techniques (e.g. sampling methods), and terminology and ethical considerations; advantages/disadvantages of sampling methods; how to select between them</t>
  </si>
  <si>
    <t>Scheaffer, Ch. 2</t>
  </si>
  <si>
    <t>Fundamentals of writing survey questions; what do we want to measure; are we comparing to previous questions; question formats; response options</t>
  </si>
  <si>
    <t>Computer assignment, Exam 3</t>
  </si>
  <si>
    <t>Scheaffer, Ch. 4, 11</t>
  </si>
  <si>
    <t>Creating survey weights; point estimation under SRS, comparing an unweighted and a weighted estimate; estimation of the variance of a point estimate unweighted under SRS versus jackknife unweighted and weighted</t>
  </si>
  <si>
    <t>Putting the pieces together using survey research case studies (e.g. GSS, U.S. Decennial Census)</t>
  </si>
  <si>
    <t>Case studies</t>
  </si>
  <si>
    <t>Revisiting the main principles of experimental designs and survey designs, to compare and contrast design concepts (e.g. blocking vs. stratification) and analysis strategies</t>
  </si>
  <si>
    <t>Computer assignment, Project</t>
  </si>
  <si>
    <t>None</t>
  </si>
  <si>
    <t>Final exam, Final project report</t>
  </si>
  <si>
    <t>Prep</t>
  </si>
  <si>
    <t xml:space="preserve">In Class </t>
  </si>
  <si>
    <t>Mod 1: Introduction to Study Design</t>
  </si>
  <si>
    <t>Mod 2: CRD</t>
  </si>
  <si>
    <t>Mod 4: Factorials</t>
  </si>
  <si>
    <t>Midterm Exam I</t>
  </si>
  <si>
    <t>Mod 5: RCBD</t>
  </si>
  <si>
    <t>Mod 6: Random / Fixed Effects Models</t>
  </si>
  <si>
    <t>Mod 7: Extensions + Considerations</t>
  </si>
  <si>
    <t>Mod 8: Causal Inference</t>
  </si>
  <si>
    <t>Midterm Exam II</t>
  </si>
  <si>
    <t>Mod 9: Observational Studies</t>
  </si>
  <si>
    <t>Final Project Presentations</t>
  </si>
  <si>
    <t>Mod 12: Survey Weights</t>
  </si>
  <si>
    <t>Mod 13: Putting it all Together!</t>
  </si>
  <si>
    <t>Mod 3: Power and Sample Size</t>
  </si>
  <si>
    <r>
      <t xml:space="preserve">Nested designs; </t>
    </r>
    <r>
      <rPr>
        <b/>
        <sz val="16"/>
        <color rgb="FF000000"/>
        <rFont val="Calibri"/>
        <family val="2"/>
      </rPr>
      <t>split-plot designs</t>
    </r>
    <r>
      <rPr>
        <sz val="16"/>
        <color rgb="FF000000"/>
        <rFont val="Calibri"/>
        <family val="2"/>
      </rPr>
      <t>; implications of analysis choices: e.g. replication vs. subsampling vs. repeated measurements, missing data, limitations of study designs – e.g. when a research question calls for a more complicated design</t>
    </r>
  </si>
  <si>
    <t>em says take out nested treatment etc.</t>
  </si>
  <si>
    <t>repeated measures as bridge from split plot</t>
  </si>
  <si>
    <t>Introductions + Activity 1.1</t>
  </si>
  <si>
    <t>Activity 1.2 + Start Lab 1</t>
  </si>
  <si>
    <t>Syllabus Video
Lecture Video: Basics of DOE</t>
  </si>
  <si>
    <t>Lab or Project Due</t>
  </si>
  <si>
    <t>Lecture Video: Designing a CRD
Lecture Video: Analyzing a CRD (ANOVA)
Lecture Video: Statistical Models</t>
  </si>
  <si>
    <t>Activity 2.1</t>
  </si>
  <si>
    <t>Lecture Video: Inference for Means
Lecture Video: Contrasts
Lecture Video: Pairwise Comparisons</t>
  </si>
  <si>
    <t>Activity 2.2</t>
  </si>
  <si>
    <t>Lecture Video: Intro to Power</t>
  </si>
  <si>
    <t>Activity 3.1 + Start Lab 2</t>
  </si>
  <si>
    <t>Lecture Video: Designing a Factorial</t>
  </si>
  <si>
    <t>Activity 4.1</t>
  </si>
  <si>
    <t>Lab 2 due 9/25</t>
  </si>
  <si>
    <t>Lab 3 due 10/16</t>
  </si>
  <si>
    <t>Lecture Video: Statistical Model for a Factorial
Lecture Video: Analyzing a Factorial</t>
  </si>
  <si>
    <t>Activity 4.2</t>
  </si>
  <si>
    <t>Lecture Video: 3-way factorial</t>
  </si>
  <si>
    <t>Activity 4.3</t>
  </si>
  <si>
    <t>Lecture Video: Designing a RCBD
Lecture Video: Statistical Model for a RCBD
Lecture Video: Analyzing a RCBD</t>
  </si>
  <si>
    <t>Activity 5.1</t>
  </si>
  <si>
    <t>Lecture Video: RCBD + Factorials</t>
  </si>
  <si>
    <t>Activity 5.2</t>
  </si>
  <si>
    <t>Activity 6.1 + Start Lab 3</t>
  </si>
  <si>
    <t>Lecture Video: Random vs Fixed Effects
Lecture Video: Mixed Model (Blocks)</t>
  </si>
  <si>
    <t>Lecture Video: Subsampling (random effects)</t>
  </si>
  <si>
    <t>Activity 6.2</t>
  </si>
  <si>
    <t>Lecture Video: Generalized Block Designs
Lecture Video: Latin Square Designs
Lecture Video: Nested Treatment Structures</t>
  </si>
  <si>
    <t>Activity 7.2</t>
  </si>
  <si>
    <t>Note: Dr. C out of town, another STAT faculty will proctor</t>
  </si>
  <si>
    <t xml:space="preserve">Note: Dr. C traveling this weekend </t>
  </si>
  <si>
    <t>Lab 4 due 11/20</t>
  </si>
  <si>
    <t>Project Presentations</t>
  </si>
  <si>
    <t>Project Slides due Wed 12/9</t>
  </si>
  <si>
    <t>Project Letter of Learning due Wed 12/16</t>
  </si>
  <si>
    <t>Discord and R / Rstudio Setup
Lecture Video: Controlling for Variability</t>
  </si>
  <si>
    <t>Lab Group Contract due 8/30</t>
  </si>
  <si>
    <t>Lab 1 due 9/8</t>
  </si>
  <si>
    <t>Mod 10: Survey Sampling</t>
  </si>
  <si>
    <t>Mod 11: Writing Survey Instruments</t>
  </si>
  <si>
    <t>Final Project Proposal due Wed 11/4</t>
  </si>
  <si>
    <t xml:space="preserve">Activity 9.1 + </t>
  </si>
  <si>
    <t>Start Lab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</si>
</sst>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3"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scheme val="minor"/>
    </font>
    <font>
      <sz val="11"/>
      <color rgb="FF000000"/>
      <name val="Aptos Narrow"/>
      <family val="2"/>
      <scheme val="minor"/>
    </font>
    <font>
      <sz val="16"/>
      <color rgb="FF000000"/>
      <name val="Calibri"/>
      <family val="2"/>
    </font>
    <font>
      <sz val="18"/>
      <color rgb="FF181816"/>
      <name val="Aptos Narrow"/>
      <scheme val="minor"/>
    </font>
    <font>
      <sz val="18"/>
      <color theme="1"/>
      <name val="Aptos Narrow"/>
      <scheme val="minor"/>
    </font>
    <font>
      <sz val="18"/>
      <color rgb="FF000000"/>
      <name val="Aptos Narrow"/>
      <scheme val="minor"/>
    </font>
    <font>
      <b/>
      <sz val="16"/>
      <color rgb="FF000000"/>
      <name val="Calibri"/>
      <family val="2"/>
    </font>
  </fonts>
  <fills count="11">
    <fill>
      <patternFill patternType="none"/>
    </fill>
    <fill>
      <patternFill patternType="gray125"/>
    </fill>
    <fill>
      <patternFill patternType="solid">
        <fgColor theme="4" tint="-0.249977111117893"/>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C000"/>
        <bgColor indexed="64"/>
      </patternFill>
    </fill>
    <fill>
      <patternFill patternType="solid">
        <fgColor theme="5" tint="0.79998168889431442"/>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69">
    <xf numFmtId="0" fontId="0" fillId="0" borderId="0" xfId="0"/>
    <xf numFmtId="0" fontId="4" fillId="2" borderId="0" xfId="0" applyFont="1" applyFill="1" applyAlignment="1">
      <alignment horizontal="center"/>
    </xf>
    <xf numFmtId="0" fontId="0" fillId="0" borderId="2"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4" fillId="2" borderId="0" xfId="0" applyFont="1" applyFill="1" applyAlignment="1">
      <alignment horizontal="center" vertical="center" wrapText="1"/>
    </xf>
    <xf numFmtId="0" fontId="0" fillId="0" borderId="0" xfId="0" applyAlignment="1">
      <alignment horizontal="lef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4" fillId="2" borderId="0" xfId="0" applyFont="1" applyFill="1"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2" xfId="0" applyBorder="1" applyAlignment="1">
      <alignment vertical="center"/>
    </xf>
    <xf numFmtId="0" fontId="5" fillId="0" borderId="0" xfId="0" applyFont="1" applyAlignment="1">
      <alignment vertical="center"/>
    </xf>
    <xf numFmtId="0" fontId="5" fillId="0" borderId="1" xfId="0" applyFont="1" applyBorder="1" applyAlignment="1">
      <alignment vertical="center"/>
    </xf>
    <xf numFmtId="164" fontId="0" fillId="0" borderId="0" xfId="0" applyNumberFormat="1" applyAlignment="1">
      <alignment horizontal="center" vertical="center"/>
    </xf>
    <xf numFmtId="164" fontId="0" fillId="0" borderId="1" xfId="0" applyNumberFormat="1" applyBorder="1" applyAlignment="1">
      <alignment horizontal="center" vertical="center"/>
    </xf>
    <xf numFmtId="164" fontId="0" fillId="0" borderId="2" xfId="0" applyNumberForma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vertical="center"/>
    </xf>
    <xf numFmtId="0" fontId="3" fillId="0" borderId="0" xfId="0" applyFont="1" applyAlignment="1">
      <alignment horizontal="center" vertical="center"/>
    </xf>
    <xf numFmtId="0" fontId="6" fillId="0" borderId="0" xfId="0" applyFont="1" applyAlignment="1">
      <alignment vertical="center"/>
    </xf>
    <xf numFmtId="0" fontId="6" fillId="0" borderId="0" xfId="0" applyFont="1" applyAlignment="1">
      <alignment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3" fillId="7" borderId="0" xfId="0" applyFont="1" applyFill="1" applyAlignment="1">
      <alignment vertical="center"/>
    </xf>
    <xf numFmtId="0" fontId="2" fillId="4" borderId="0" xfId="0" applyFont="1" applyFill="1" applyAlignment="1">
      <alignment horizontal="center" vertical="center"/>
    </xf>
    <xf numFmtId="0" fontId="2" fillId="7" borderId="0" xfId="0" applyFont="1" applyFill="1" applyAlignment="1">
      <alignment vertical="center"/>
    </xf>
    <xf numFmtId="0" fontId="0" fillId="8" borderId="0" xfId="0" applyFill="1" applyAlignment="1">
      <alignment horizontal="center" vertical="center"/>
    </xf>
    <xf numFmtId="164" fontId="0" fillId="8" borderId="0" xfId="0" applyNumberFormat="1" applyFill="1" applyAlignment="1">
      <alignment horizontal="center" vertical="center"/>
    </xf>
    <xf numFmtId="0" fontId="0" fillId="9" borderId="0" xfId="0" applyFill="1" applyAlignment="1">
      <alignment horizontal="center" vertical="center"/>
    </xf>
    <xf numFmtId="0" fontId="0" fillId="9" borderId="2" xfId="0" applyFill="1" applyBorder="1" applyAlignment="1">
      <alignment horizontal="center" vertical="center"/>
    </xf>
    <xf numFmtId="164" fontId="0" fillId="9" borderId="2" xfId="0" applyNumberFormat="1" applyFill="1" applyBorder="1" applyAlignment="1">
      <alignment horizontal="center" vertical="center"/>
    </xf>
    <xf numFmtId="0" fontId="0" fillId="9" borderId="0" xfId="0" applyFill="1" applyAlignment="1">
      <alignment vertical="center" wrapText="1"/>
    </xf>
    <xf numFmtId="164" fontId="0" fillId="9" borderId="0" xfId="0" applyNumberFormat="1" applyFill="1" applyAlignment="1">
      <alignment horizontal="center" vertical="center"/>
    </xf>
    <xf numFmtId="0" fontId="0" fillId="9" borderId="0" xfId="0" applyFill="1" applyAlignment="1">
      <alignment vertical="center"/>
    </xf>
    <xf numFmtId="0" fontId="0" fillId="9" borderId="1" xfId="0" applyFill="1" applyBorder="1" applyAlignment="1">
      <alignment horizontal="center" vertical="center"/>
    </xf>
    <xf numFmtId="164" fontId="0" fillId="9" borderId="1" xfId="0" applyNumberFormat="1" applyFill="1" applyBorder="1" applyAlignment="1">
      <alignment horizontal="center" vertical="center"/>
    </xf>
    <xf numFmtId="0" fontId="5" fillId="9" borderId="1" xfId="0" applyFont="1" applyFill="1" applyBorder="1" applyAlignment="1">
      <alignment vertical="center" wrapText="1"/>
    </xf>
    <xf numFmtId="0" fontId="5" fillId="9" borderId="1" xfId="0" applyFont="1" applyFill="1" applyBorder="1" applyAlignment="1">
      <alignment vertical="center"/>
    </xf>
    <xf numFmtId="0" fontId="0" fillId="9" borderId="0" xfId="0" applyFill="1" applyAlignment="1">
      <alignment horizontal="center" vertical="center" wrapText="1"/>
    </xf>
    <xf numFmtId="0" fontId="9" fillId="0" borderId="0" xfId="0" applyFont="1" applyAlignment="1">
      <alignment wrapText="1"/>
    </xf>
    <xf numFmtId="0" fontId="10" fillId="0" borderId="0" xfId="0" applyFont="1"/>
    <xf numFmtId="0" fontId="11" fillId="0" borderId="0" xfId="0" applyFont="1"/>
    <xf numFmtId="0" fontId="8" fillId="0" borderId="0" xfId="0" applyFont="1" applyAlignment="1">
      <alignment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7" fillId="0" borderId="0" xfId="0" applyFont="1" applyAlignment="1">
      <alignment horizontal="center" vertical="center" wrapText="1"/>
    </xf>
    <xf numFmtId="0" fontId="0" fillId="8" borderId="0" xfId="0" applyFill="1" applyAlignment="1">
      <alignment horizontal="center" vertical="center" wrapText="1"/>
    </xf>
    <xf numFmtId="0" fontId="5" fillId="0" borderId="1" xfId="0" applyFont="1" applyBorder="1" applyAlignment="1">
      <alignment horizontal="center" vertical="center" wrapText="1"/>
    </xf>
    <xf numFmtId="0" fontId="5" fillId="9" borderId="1" xfId="0" applyFont="1" applyFill="1" applyBorder="1" applyAlignment="1">
      <alignment horizontal="center" vertical="center" wrapText="1"/>
    </xf>
    <xf numFmtId="0" fontId="0" fillId="8" borderId="2" xfId="0" applyFill="1" applyBorder="1" applyAlignment="1">
      <alignment horizontal="center" vertical="center"/>
    </xf>
    <xf numFmtId="164" fontId="0" fillId="8" borderId="2" xfId="0" applyNumberFormat="1" applyFill="1" applyBorder="1" applyAlignment="1">
      <alignment horizontal="center" vertical="center"/>
    </xf>
    <xf numFmtId="0" fontId="0" fillId="8" borderId="2" xfId="0" applyFill="1" applyBorder="1" applyAlignment="1">
      <alignment horizontal="center" vertical="center" wrapText="1"/>
    </xf>
    <xf numFmtId="0" fontId="0" fillId="8" borderId="2" xfId="0" applyFill="1"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10" borderId="1" xfId="0" applyFill="1" applyBorder="1" applyAlignment="1">
      <alignment horizontal="center" vertical="center" wrapText="1"/>
    </xf>
    <xf numFmtId="0" fontId="0" fillId="10" borderId="0" xfId="0" applyFill="1" applyAlignment="1">
      <alignment horizontal="center"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0" fillId="9" borderId="0" xfId="0" applyFill="1" applyAlignment="1">
      <alignment horizontal="center" vertical="center"/>
    </xf>
    <xf numFmtId="0" fontId="0" fillId="9" borderId="1" xfId="0" applyFill="1" applyBorder="1" applyAlignment="1">
      <alignment horizontal="center" vertical="center"/>
    </xf>
    <xf numFmtId="0" fontId="0" fillId="7" borderId="0" xfId="0" applyFill="1" applyAlignment="1">
      <alignment horizontal="center" vertical="center" wrapText="1"/>
    </xf>
    <xf numFmtId="0" fontId="0" fillId="5" borderId="0" xfId="0" applyFill="1" applyAlignment="1">
      <alignment horizontal="center" vertical="center" wrapText="1"/>
    </xf>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B7F3F-4593-44F2-B679-FD57D474D4FD}">
  <dimension ref="A1:I52"/>
  <sheetViews>
    <sheetView tabSelected="1" topLeftCell="A26" zoomScale="150" zoomScaleNormal="150" zoomScaleSheetLayoutView="134" workbookViewId="0">
      <selection activeCell="E30" sqref="E30:E39"/>
    </sheetView>
  </sheetViews>
  <sheetFormatPr baseColWidth="10" defaultColWidth="8.83203125" defaultRowHeight="15" x14ac:dyDescent="0.2"/>
  <cols>
    <col min="1" max="1" width="5.83203125" bestFit="1" customWidth="1"/>
    <col min="2" max="2" width="5" style="3" customWidth="1"/>
    <col min="3" max="3" width="3.6640625" style="3" customWidth="1"/>
    <col min="4" max="4" width="6.6640625" style="3" customWidth="1"/>
    <col min="5" max="5" width="33.5" style="46" customWidth="1"/>
    <col min="6" max="6" width="35.33203125" style="9" customWidth="1"/>
    <col min="7" max="7" width="21.5" style="9" customWidth="1"/>
    <col min="8" max="8" width="29" style="11" customWidth="1"/>
  </cols>
  <sheetData>
    <row r="1" spans="1:8" ht="16" x14ac:dyDescent="0.2">
      <c r="A1" s="1" t="s">
        <v>1</v>
      </c>
      <c r="B1" s="10" t="s">
        <v>0</v>
      </c>
      <c r="C1" s="10"/>
      <c r="D1" s="10" t="s">
        <v>2</v>
      </c>
      <c r="E1" s="5" t="s">
        <v>4</v>
      </c>
      <c r="F1" s="5" t="s">
        <v>70</v>
      </c>
      <c r="G1" s="5" t="s">
        <v>71</v>
      </c>
      <c r="H1" s="10" t="s">
        <v>92</v>
      </c>
    </row>
    <row r="2" spans="1:8" ht="32" x14ac:dyDescent="0.2">
      <c r="A2" s="57">
        <v>1</v>
      </c>
      <c r="B2" s="3">
        <v>1</v>
      </c>
      <c r="C2" s="3" t="s">
        <v>3</v>
      </c>
      <c r="D2" s="16">
        <v>46259</v>
      </c>
      <c r="E2" s="46" t="s">
        <v>72</v>
      </c>
      <c r="F2" s="6" t="s">
        <v>91</v>
      </c>
      <c r="G2" s="6" t="s">
        <v>89</v>
      </c>
    </row>
    <row r="3" spans="1:8" ht="32" x14ac:dyDescent="0.2">
      <c r="A3" s="57"/>
      <c r="B3" s="3">
        <v>2</v>
      </c>
      <c r="C3" s="3" t="s">
        <v>12</v>
      </c>
      <c r="D3" s="16">
        <f>D2+2</f>
        <v>46261</v>
      </c>
      <c r="E3" s="46" t="s">
        <v>72</v>
      </c>
      <c r="F3" s="9" t="s">
        <v>123</v>
      </c>
      <c r="G3" s="9" t="s">
        <v>90</v>
      </c>
    </row>
    <row r="4" spans="1:8" ht="20.75" customHeight="1" x14ac:dyDescent="0.2">
      <c r="A4" s="58"/>
      <c r="B4" s="4"/>
      <c r="C4" s="4"/>
      <c r="D4" s="17"/>
      <c r="E4" s="47"/>
      <c r="F4" s="7"/>
      <c r="G4" s="7"/>
      <c r="H4" s="12" t="s">
        <v>124</v>
      </c>
    </row>
    <row r="5" spans="1:8" ht="48" x14ac:dyDescent="0.2">
      <c r="A5" s="59">
        <v>2</v>
      </c>
      <c r="B5" s="2">
        <f>B3+1</f>
        <v>3</v>
      </c>
      <c r="C5" s="3" t="s">
        <v>3</v>
      </c>
      <c r="D5" s="18">
        <f>D3+5</f>
        <v>46266</v>
      </c>
      <c r="E5" s="48" t="s">
        <v>73</v>
      </c>
      <c r="F5" s="8" t="s">
        <v>93</v>
      </c>
      <c r="G5" s="11" t="s">
        <v>94</v>
      </c>
      <c r="H5" s="13"/>
    </row>
    <row r="6" spans="1:8" ht="48" x14ac:dyDescent="0.2">
      <c r="A6" s="57"/>
      <c r="B6" s="3">
        <f>B5+1</f>
        <v>4</v>
      </c>
      <c r="C6" s="3" t="s">
        <v>12</v>
      </c>
      <c r="D6" s="16">
        <f>D5+2</f>
        <v>46268</v>
      </c>
      <c r="E6" s="46" t="s">
        <v>73</v>
      </c>
      <c r="F6" s="9" t="s">
        <v>95</v>
      </c>
      <c r="G6" s="9" t="s">
        <v>96</v>
      </c>
    </row>
    <row r="7" spans="1:8" ht="20.75" customHeight="1" x14ac:dyDescent="0.2">
      <c r="A7" s="58"/>
      <c r="B7" s="4"/>
      <c r="C7" s="4"/>
      <c r="D7" s="17"/>
      <c r="E7" s="47"/>
      <c r="F7" s="7"/>
      <c r="G7" s="7"/>
      <c r="H7" s="12"/>
    </row>
    <row r="8" spans="1:8" ht="16" x14ac:dyDescent="0.2">
      <c r="A8" s="57">
        <v>3</v>
      </c>
      <c r="B8" s="3">
        <f>B6+1</f>
        <v>5</v>
      </c>
      <c r="C8" s="3" t="s">
        <v>3</v>
      </c>
      <c r="D8" s="18">
        <f>D6+5</f>
        <v>46273</v>
      </c>
      <c r="E8" s="49" t="s">
        <v>85</v>
      </c>
      <c r="F8" s="9" t="s">
        <v>97</v>
      </c>
      <c r="G8" s="9" t="s">
        <v>98</v>
      </c>
      <c r="H8" s="11" t="s">
        <v>125</v>
      </c>
    </row>
    <row r="9" spans="1:8" ht="20.75" customHeight="1" x14ac:dyDescent="0.2">
      <c r="A9" s="57"/>
      <c r="B9" s="3">
        <f>B8+1</f>
        <v>6</v>
      </c>
      <c r="C9" s="3" t="s">
        <v>12</v>
      </c>
      <c r="D9" s="16">
        <f>D8+2</f>
        <v>46275</v>
      </c>
      <c r="E9" s="49" t="s">
        <v>74</v>
      </c>
      <c r="F9" t="s">
        <v>99</v>
      </c>
      <c r="G9" t="s">
        <v>100</v>
      </c>
    </row>
    <row r="10" spans="1:8" ht="20.75" customHeight="1" x14ac:dyDescent="0.2">
      <c r="A10" s="58"/>
      <c r="B10" s="4"/>
      <c r="C10" s="4"/>
      <c r="D10" s="17"/>
      <c r="E10" s="47"/>
      <c r="F10" s="7"/>
      <c r="G10" s="7"/>
      <c r="H10" s="12"/>
    </row>
    <row r="11" spans="1:8" ht="32" x14ac:dyDescent="0.2">
      <c r="A11" s="59">
        <v>4</v>
      </c>
      <c r="B11" s="2">
        <f>B9+1</f>
        <v>7</v>
      </c>
      <c r="C11" s="3" t="s">
        <v>3</v>
      </c>
      <c r="D11" s="18">
        <f>D9+5</f>
        <v>46280</v>
      </c>
      <c r="E11" s="49" t="s">
        <v>74</v>
      </c>
      <c r="F11" s="9" t="s">
        <v>103</v>
      </c>
      <c r="G11" s="9" t="s">
        <v>104</v>
      </c>
    </row>
    <row r="12" spans="1:8" ht="20.75" customHeight="1" x14ac:dyDescent="0.2">
      <c r="A12" s="57"/>
      <c r="B12" s="29">
        <f>B11+1</f>
        <v>8</v>
      </c>
      <c r="C12" s="29" t="s">
        <v>12</v>
      </c>
      <c r="D12" s="30">
        <f>D11+2</f>
        <v>46282</v>
      </c>
      <c r="E12" s="50" t="s">
        <v>75</v>
      </c>
      <c r="F12" s="61" t="s">
        <v>117</v>
      </c>
      <c r="G12" s="61"/>
      <c r="H12" s="61"/>
    </row>
    <row r="13" spans="1:8" ht="20.75" customHeight="1" x14ac:dyDescent="0.2">
      <c r="A13" s="58"/>
      <c r="B13" s="4"/>
      <c r="C13" s="4"/>
      <c r="D13" s="17"/>
      <c r="E13" s="47"/>
      <c r="F13" s="7"/>
      <c r="G13" s="7"/>
      <c r="H13" s="14"/>
    </row>
    <row r="14" spans="1:8" ht="20.75" customHeight="1" x14ac:dyDescent="0.2">
      <c r="A14" s="59">
        <v>5</v>
      </c>
      <c r="B14" s="2">
        <f>B12+1</f>
        <v>9</v>
      </c>
      <c r="C14" s="3" t="s">
        <v>3</v>
      </c>
      <c r="D14" s="18">
        <f>D12+5</f>
        <v>46287</v>
      </c>
      <c r="E14" s="49" t="s">
        <v>74</v>
      </c>
      <c r="F14" s="9" t="s">
        <v>105</v>
      </c>
      <c r="G14" s="9" t="s">
        <v>106</v>
      </c>
      <c r="H14" s="13"/>
    </row>
    <row r="15" spans="1:8" ht="48" x14ac:dyDescent="0.2">
      <c r="A15" s="57"/>
      <c r="B15" s="3">
        <f>B14+1</f>
        <v>10</v>
      </c>
      <c r="C15" s="3" t="s">
        <v>12</v>
      </c>
      <c r="D15" s="16">
        <f>D14+2</f>
        <v>46289</v>
      </c>
      <c r="E15" s="46" t="s">
        <v>76</v>
      </c>
      <c r="F15" s="9" t="s">
        <v>107</v>
      </c>
      <c r="G15" s="9" t="s">
        <v>108</v>
      </c>
      <c r="H15" s="14"/>
    </row>
    <row r="16" spans="1:8" ht="20.75" customHeight="1" x14ac:dyDescent="0.2">
      <c r="A16" s="58"/>
      <c r="B16" s="4"/>
      <c r="C16" s="4"/>
      <c r="D16" s="17"/>
      <c r="E16" s="47"/>
      <c r="F16" s="7"/>
      <c r="G16" s="7"/>
      <c r="H16" s="12" t="s">
        <v>101</v>
      </c>
    </row>
    <row r="17" spans="1:9" ht="16" x14ac:dyDescent="0.2">
      <c r="A17" s="59">
        <v>6</v>
      </c>
      <c r="B17" s="2">
        <f>B15+1</f>
        <v>11</v>
      </c>
      <c r="C17" s="3" t="s">
        <v>3</v>
      </c>
      <c r="D17" s="18">
        <f>D15+5</f>
        <v>46294</v>
      </c>
      <c r="E17" s="46" t="s">
        <v>76</v>
      </c>
      <c r="F17" s="9" t="s">
        <v>109</v>
      </c>
      <c r="G17" s="9" t="s">
        <v>110</v>
      </c>
    </row>
    <row r="18" spans="1:9" ht="32" x14ac:dyDescent="0.2">
      <c r="A18" s="57"/>
      <c r="B18" s="3">
        <f>B17+1</f>
        <v>12</v>
      </c>
      <c r="C18" s="3" t="s">
        <v>12</v>
      </c>
      <c r="D18" s="16">
        <f>D17+2</f>
        <v>46296</v>
      </c>
      <c r="E18" s="46" t="s">
        <v>77</v>
      </c>
      <c r="F18" s="9" t="s">
        <v>112</v>
      </c>
      <c r="G18" s="9" t="s">
        <v>111</v>
      </c>
    </row>
    <row r="19" spans="1:9" ht="20.75" customHeight="1" x14ac:dyDescent="0.2">
      <c r="A19" s="58"/>
      <c r="B19" s="4"/>
      <c r="C19" s="4"/>
      <c r="D19" s="17"/>
      <c r="F19" s="7"/>
      <c r="G19" s="7"/>
      <c r="H19" s="20"/>
    </row>
    <row r="20" spans="1:9" ht="20.75" customHeight="1" x14ac:dyDescent="0.2">
      <c r="A20" s="59">
        <v>7</v>
      </c>
      <c r="B20" s="2">
        <f>B18+1</f>
        <v>13</v>
      </c>
      <c r="C20" s="3" t="s">
        <v>3</v>
      </c>
      <c r="D20" s="18">
        <f>D18+5</f>
        <v>46301</v>
      </c>
      <c r="E20" s="48" t="s">
        <v>77</v>
      </c>
      <c r="F20" t="s">
        <v>113</v>
      </c>
      <c r="G20" s="9" t="s">
        <v>114</v>
      </c>
      <c r="H20" s="8"/>
    </row>
    <row r="21" spans="1:9" ht="48" x14ac:dyDescent="0.2">
      <c r="A21" s="57"/>
      <c r="B21" s="3">
        <f>B20+1</f>
        <v>14</v>
      </c>
      <c r="C21" s="3" t="s">
        <v>12</v>
      </c>
      <c r="D21" s="16">
        <f>D20+2</f>
        <v>46303</v>
      </c>
      <c r="E21" s="46" t="s">
        <v>78</v>
      </c>
      <c r="F21" s="9" t="s">
        <v>115</v>
      </c>
      <c r="G21" s="9" t="s">
        <v>116</v>
      </c>
    </row>
    <row r="22" spans="1:9" ht="20.75" customHeight="1" x14ac:dyDescent="0.2">
      <c r="A22" s="58"/>
      <c r="B22" s="4"/>
      <c r="C22" s="4"/>
      <c r="D22" s="17"/>
      <c r="F22" s="60" t="s">
        <v>118</v>
      </c>
      <c r="G22" s="60"/>
      <c r="H22" s="60"/>
    </row>
    <row r="23" spans="1:9" ht="20.75" customHeight="1" x14ac:dyDescent="0.2">
      <c r="A23" s="59">
        <v>8</v>
      </c>
      <c r="B23" s="2">
        <f>B21+1</f>
        <v>15</v>
      </c>
      <c r="C23" s="3" t="s">
        <v>3</v>
      </c>
      <c r="D23" s="18">
        <f>D21+5</f>
        <v>46308</v>
      </c>
      <c r="E23" s="48" t="s">
        <v>78</v>
      </c>
      <c r="F23" s="8"/>
      <c r="G23" s="8"/>
      <c r="H23" s="8"/>
      <c r="I23" s="11"/>
    </row>
    <row r="24" spans="1:9" ht="20.75" customHeight="1" x14ac:dyDescent="0.2">
      <c r="A24" s="57"/>
      <c r="B24" s="3">
        <f>B23+1</f>
        <v>16</v>
      </c>
      <c r="C24" s="3" t="s">
        <v>12</v>
      </c>
      <c r="D24" s="16">
        <f>D23+2</f>
        <v>46310</v>
      </c>
      <c r="E24" s="46" t="s">
        <v>79</v>
      </c>
      <c r="H24" s="23"/>
    </row>
    <row r="25" spans="1:9" ht="20.75" customHeight="1" x14ac:dyDescent="0.2">
      <c r="A25" s="58"/>
      <c r="B25" s="4"/>
      <c r="C25" s="4"/>
      <c r="D25" s="17"/>
      <c r="F25" s="7"/>
      <c r="G25" s="7"/>
      <c r="H25" s="12" t="s">
        <v>102</v>
      </c>
    </row>
    <row r="26" spans="1:9" ht="20.75" customHeight="1" x14ac:dyDescent="0.2">
      <c r="A26" s="59">
        <v>9</v>
      </c>
      <c r="B26" s="53">
        <f>B24+1</f>
        <v>17</v>
      </c>
      <c r="C26" s="29" t="s">
        <v>3</v>
      </c>
      <c r="D26" s="54">
        <f>D24+5</f>
        <v>46315</v>
      </c>
      <c r="E26" s="55" t="s">
        <v>80</v>
      </c>
      <c r="F26" s="56"/>
      <c r="G26" s="56"/>
      <c r="H26" s="56"/>
    </row>
    <row r="27" spans="1:9" ht="20.75" customHeight="1" x14ac:dyDescent="0.2">
      <c r="A27" s="57"/>
      <c r="B27" s="3">
        <f>B26+1</f>
        <v>18</v>
      </c>
      <c r="C27" s="3" t="s">
        <v>12</v>
      </c>
      <c r="D27" s="16">
        <f>D26+2</f>
        <v>46317</v>
      </c>
      <c r="E27" s="46" t="s">
        <v>81</v>
      </c>
      <c r="G27" s="9" t="s">
        <v>129</v>
      </c>
      <c r="H27" s="22"/>
    </row>
    <row r="28" spans="1:9" ht="20.75" customHeight="1" x14ac:dyDescent="0.2">
      <c r="A28" s="58"/>
      <c r="B28" s="4"/>
      <c r="C28" s="4"/>
      <c r="D28" s="17"/>
      <c r="E28" s="47"/>
      <c r="F28" s="7"/>
      <c r="G28" s="7"/>
      <c r="H28" s="12"/>
    </row>
    <row r="29" spans="1:9" ht="20.75" customHeight="1" x14ac:dyDescent="0.2">
      <c r="A29" s="57">
        <v>10</v>
      </c>
      <c r="B29" s="2">
        <f>B27+1</f>
        <v>19</v>
      </c>
      <c r="C29" s="3" t="s">
        <v>3</v>
      </c>
      <c r="D29" s="18">
        <f>D27+5</f>
        <v>46322</v>
      </c>
      <c r="E29" s="46" t="s">
        <v>81</v>
      </c>
      <c r="G29" s="9" t="s">
        <v>130</v>
      </c>
      <c r="H29" s="9"/>
    </row>
    <row r="30" spans="1:9" ht="20.75" customHeight="1" x14ac:dyDescent="0.2">
      <c r="A30" s="57"/>
      <c r="B30" s="3">
        <f>B29+1</f>
        <v>20</v>
      </c>
      <c r="C30" s="3" t="s">
        <v>12</v>
      </c>
      <c r="D30" s="16">
        <f>D29+2</f>
        <v>46324</v>
      </c>
      <c r="E30" s="46" t="s">
        <v>126</v>
      </c>
    </row>
    <row r="31" spans="1:9" ht="20.75" customHeight="1" x14ac:dyDescent="0.2">
      <c r="A31" s="58"/>
      <c r="B31" s="4"/>
      <c r="C31" s="4"/>
      <c r="D31" s="17"/>
      <c r="E31" s="51"/>
      <c r="F31" s="19"/>
      <c r="G31" s="19"/>
      <c r="H31" s="15"/>
    </row>
    <row r="32" spans="1:9" ht="16" x14ac:dyDescent="0.2">
      <c r="A32" s="57">
        <v>11</v>
      </c>
      <c r="B32" s="2">
        <f>B30+1</f>
        <v>21</v>
      </c>
      <c r="C32" s="3" t="s">
        <v>3</v>
      </c>
      <c r="D32" s="18">
        <f>D30+5</f>
        <v>46329</v>
      </c>
      <c r="E32" s="46" t="s">
        <v>126</v>
      </c>
      <c r="H32" s="9" t="s">
        <v>128</v>
      </c>
    </row>
    <row r="33" spans="1:8" ht="16" x14ac:dyDescent="0.2">
      <c r="A33" s="57"/>
      <c r="B33" s="3">
        <f>B32+1</f>
        <v>22</v>
      </c>
      <c r="C33" s="3" t="s">
        <v>12</v>
      </c>
      <c r="D33" s="16">
        <f>D32+2</f>
        <v>46331</v>
      </c>
      <c r="E33" s="46" t="s">
        <v>126</v>
      </c>
    </row>
    <row r="34" spans="1:8" x14ac:dyDescent="0.2">
      <c r="A34" s="58"/>
      <c r="B34" s="4"/>
      <c r="C34" s="4"/>
      <c r="D34" s="17"/>
      <c r="E34" s="51"/>
      <c r="F34" s="19"/>
      <c r="G34" s="19"/>
      <c r="H34" s="15"/>
    </row>
    <row r="35" spans="1:8" ht="16" x14ac:dyDescent="0.2">
      <c r="A35" s="57">
        <v>12</v>
      </c>
      <c r="B35" s="2">
        <f>B33+1</f>
        <v>23</v>
      </c>
      <c r="C35" s="3" t="s">
        <v>3</v>
      </c>
      <c r="D35" s="18">
        <f>D33+5</f>
        <v>46336</v>
      </c>
      <c r="E35" s="46" t="s">
        <v>83</v>
      </c>
      <c r="H35" s="9"/>
    </row>
    <row r="36" spans="1:8" ht="16" x14ac:dyDescent="0.2">
      <c r="A36" s="57"/>
      <c r="B36" s="3">
        <f>B35+1</f>
        <v>24</v>
      </c>
      <c r="C36" s="3" t="s">
        <v>12</v>
      </c>
      <c r="D36" s="16">
        <f>D35+2</f>
        <v>46338</v>
      </c>
      <c r="E36" s="46" t="s">
        <v>127</v>
      </c>
    </row>
    <row r="37" spans="1:8" x14ac:dyDescent="0.2">
      <c r="A37" s="58"/>
      <c r="B37" s="4"/>
      <c r="C37" s="4"/>
      <c r="D37" s="17"/>
      <c r="E37" s="51"/>
      <c r="F37" s="19"/>
      <c r="G37" s="19"/>
      <c r="H37" s="15"/>
    </row>
    <row r="38" spans="1:8" ht="16" x14ac:dyDescent="0.2">
      <c r="A38" s="57">
        <v>13</v>
      </c>
      <c r="B38" s="2">
        <f>B36+1</f>
        <v>25</v>
      </c>
      <c r="C38" s="3" t="s">
        <v>3</v>
      </c>
      <c r="D38" s="18">
        <f>D36+5</f>
        <v>46343</v>
      </c>
      <c r="E38" s="46" t="s">
        <v>127</v>
      </c>
      <c r="H38" s="9"/>
    </row>
    <row r="39" spans="1:8" ht="16" x14ac:dyDescent="0.2">
      <c r="A39" s="57"/>
      <c r="B39" s="3">
        <f>B38+1</f>
        <v>26</v>
      </c>
      <c r="C39" s="3" t="s">
        <v>12</v>
      </c>
      <c r="D39" s="16">
        <f>D38+2</f>
        <v>46345</v>
      </c>
      <c r="E39" s="46" t="s">
        <v>127</v>
      </c>
      <c r="F39" s="46"/>
    </row>
    <row r="40" spans="1:8" x14ac:dyDescent="0.2">
      <c r="A40" s="58"/>
      <c r="B40" s="4"/>
      <c r="C40" s="4"/>
      <c r="D40" s="17"/>
      <c r="E40" s="51"/>
      <c r="F40" s="19"/>
      <c r="G40" s="19"/>
      <c r="H40" s="20" t="s">
        <v>119</v>
      </c>
    </row>
    <row r="41" spans="1:8" x14ac:dyDescent="0.2">
      <c r="A41" s="64"/>
      <c r="B41" s="32"/>
      <c r="C41" s="31" t="s">
        <v>3</v>
      </c>
      <c r="D41" s="33">
        <f>D39+5</f>
        <v>46350</v>
      </c>
      <c r="E41" s="41"/>
      <c r="F41" s="34"/>
      <c r="G41" s="34"/>
      <c r="H41" s="34"/>
    </row>
    <row r="42" spans="1:8" ht="16" x14ac:dyDescent="0.2">
      <c r="A42" s="64"/>
      <c r="B42" s="31"/>
      <c r="C42" s="31" t="s">
        <v>12</v>
      </c>
      <c r="D42" s="35">
        <f>D41+2</f>
        <v>46352</v>
      </c>
      <c r="E42" s="41" t="s">
        <v>22</v>
      </c>
      <c r="F42" s="34"/>
      <c r="G42" s="34"/>
      <c r="H42" s="36"/>
    </row>
    <row r="43" spans="1:8" x14ac:dyDescent="0.2">
      <c r="A43" s="65"/>
      <c r="B43" s="37"/>
      <c r="C43" s="37"/>
      <c r="D43" s="38"/>
      <c r="E43" s="52"/>
      <c r="F43" s="39"/>
      <c r="G43" s="39"/>
      <c r="H43" s="40"/>
    </row>
    <row r="44" spans="1:8" ht="16" x14ac:dyDescent="0.2">
      <c r="A44" s="57">
        <v>14</v>
      </c>
      <c r="B44" s="2">
        <f>B39+1</f>
        <v>27</v>
      </c>
      <c r="C44" s="3" t="s">
        <v>3</v>
      </c>
      <c r="D44" s="18">
        <f>D42+5</f>
        <v>46357</v>
      </c>
      <c r="E44" s="46" t="s">
        <v>84</v>
      </c>
      <c r="H44" s="9"/>
    </row>
    <row r="45" spans="1:8" ht="16" x14ac:dyDescent="0.2">
      <c r="A45" s="57"/>
      <c r="B45" s="3">
        <f>B44+1</f>
        <v>28</v>
      </c>
      <c r="C45" s="3" t="s">
        <v>12</v>
      </c>
      <c r="D45" s="16">
        <f>D44+2</f>
        <v>46359</v>
      </c>
      <c r="E45" s="46" t="s">
        <v>84</v>
      </c>
    </row>
    <row r="46" spans="1:8" x14ac:dyDescent="0.2">
      <c r="A46" s="58"/>
      <c r="B46" s="4"/>
      <c r="C46" s="4"/>
      <c r="D46" s="17">
        <f>D45+2</f>
        <v>46361</v>
      </c>
      <c r="E46" s="51"/>
      <c r="F46" s="19"/>
      <c r="G46" s="19"/>
      <c r="H46" s="15"/>
    </row>
    <row r="47" spans="1:8" ht="16" x14ac:dyDescent="0.2">
      <c r="A47" s="57">
        <v>15</v>
      </c>
      <c r="B47" s="2">
        <f>B45+1</f>
        <v>29</v>
      </c>
      <c r="C47" s="3" t="s">
        <v>3</v>
      </c>
      <c r="D47" s="18">
        <f>D45+5</f>
        <v>46364</v>
      </c>
      <c r="E47" s="46" t="s">
        <v>84</v>
      </c>
      <c r="H47" s="11" t="s">
        <v>121</v>
      </c>
    </row>
    <row r="48" spans="1:8" ht="16" x14ac:dyDescent="0.2">
      <c r="A48" s="57"/>
      <c r="B48" s="3">
        <f>B47+1</f>
        <v>30</v>
      </c>
      <c r="C48" s="3" t="s">
        <v>12</v>
      </c>
      <c r="D48" s="16">
        <f>D47+2</f>
        <v>46366</v>
      </c>
      <c r="E48" s="46" t="s">
        <v>82</v>
      </c>
      <c r="H48" s="11" t="s">
        <v>120</v>
      </c>
    </row>
    <row r="49" spans="1:8" x14ac:dyDescent="0.2">
      <c r="A49" s="58"/>
      <c r="B49" s="4"/>
      <c r="C49" s="4"/>
      <c r="D49" s="17">
        <f>D48+2</f>
        <v>46368</v>
      </c>
      <c r="E49" s="51"/>
      <c r="F49" s="19"/>
      <c r="G49" s="19"/>
      <c r="H49" s="15"/>
    </row>
    <row r="50" spans="1:8" ht="16" x14ac:dyDescent="0.2">
      <c r="A50" s="57"/>
      <c r="B50" s="2"/>
      <c r="C50" s="3" t="s">
        <v>3</v>
      </c>
      <c r="D50" s="18">
        <f>D48+5</f>
        <v>46371</v>
      </c>
      <c r="E50" s="46" t="s">
        <v>25</v>
      </c>
      <c r="H50" s="62" t="s">
        <v>122</v>
      </c>
    </row>
    <row r="51" spans="1:8" ht="16" x14ac:dyDescent="0.2">
      <c r="A51" s="57"/>
      <c r="C51" s="3" t="s">
        <v>12</v>
      </c>
      <c r="D51" s="16">
        <f>D50+2</f>
        <v>46373</v>
      </c>
      <c r="E51" s="46" t="s">
        <v>24</v>
      </c>
      <c r="H51" s="63"/>
    </row>
    <row r="52" spans="1:8" ht="16" x14ac:dyDescent="0.2">
      <c r="A52" s="58"/>
      <c r="B52" s="4"/>
      <c r="C52" s="4"/>
      <c r="D52" s="17"/>
      <c r="E52" s="47" t="s">
        <v>23</v>
      </c>
      <c r="F52" s="19"/>
      <c r="G52" s="19"/>
      <c r="H52" s="15"/>
    </row>
  </sheetData>
  <mergeCells count="20">
    <mergeCell ref="F22:H22"/>
    <mergeCell ref="F12:H12"/>
    <mergeCell ref="H50:H51"/>
    <mergeCell ref="A50:A52"/>
    <mergeCell ref="A35:A37"/>
    <mergeCell ref="A38:A40"/>
    <mergeCell ref="A41:A43"/>
    <mergeCell ref="A44:A46"/>
    <mergeCell ref="A47:A49"/>
    <mergeCell ref="A2:A4"/>
    <mergeCell ref="A5:A7"/>
    <mergeCell ref="A8:A10"/>
    <mergeCell ref="A11:A13"/>
    <mergeCell ref="A32:A34"/>
    <mergeCell ref="A14:A16"/>
    <mergeCell ref="A20:A22"/>
    <mergeCell ref="A23:A25"/>
    <mergeCell ref="A26:A28"/>
    <mergeCell ref="A29:A31"/>
    <mergeCell ref="A17:A19"/>
  </mergeCells>
  <pageMargins left="0.7" right="0.7" top="0.75" bottom="0.75" header="0.3" footer="0.3"/>
  <pageSetup scale="78"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F6F1-5E3F-FF42-AEBF-A71FAA674B88}">
  <dimension ref="B4:H9"/>
  <sheetViews>
    <sheetView topLeftCell="A3" zoomScale="170" zoomScaleNormal="170" zoomScaleSheetLayoutView="191" workbookViewId="0">
      <selection activeCell="E14" sqref="E14"/>
    </sheetView>
  </sheetViews>
  <sheetFormatPr baseColWidth="10" defaultRowHeight="15" x14ac:dyDescent="0.2"/>
  <cols>
    <col min="2" max="8" width="15.83203125" customWidth="1"/>
  </cols>
  <sheetData>
    <row r="4" spans="2:8" ht="16" x14ac:dyDescent="0.2">
      <c r="B4" s="21" t="s">
        <v>5</v>
      </c>
      <c r="C4" s="21" t="s">
        <v>6</v>
      </c>
      <c r="D4" s="21" t="s">
        <v>7</v>
      </c>
      <c r="E4" s="21" t="s">
        <v>8</v>
      </c>
      <c r="F4" s="21" t="s">
        <v>9</v>
      </c>
      <c r="G4" s="21" t="s">
        <v>10</v>
      </c>
      <c r="H4" s="21" t="s">
        <v>11</v>
      </c>
    </row>
    <row r="5" spans="2:8" ht="16" x14ac:dyDescent="0.2">
      <c r="B5" s="66" t="s">
        <v>19</v>
      </c>
      <c r="C5" s="27" t="s">
        <v>18</v>
      </c>
      <c r="D5" s="26"/>
      <c r="E5" s="67" t="s">
        <v>14</v>
      </c>
      <c r="F5" s="26"/>
      <c r="G5" s="26"/>
      <c r="H5" s="26"/>
    </row>
    <row r="6" spans="2:8" ht="16" x14ac:dyDescent="0.2">
      <c r="B6" s="66"/>
      <c r="C6" s="24" t="s">
        <v>14</v>
      </c>
      <c r="D6" s="68" t="s">
        <v>20</v>
      </c>
      <c r="E6" s="67"/>
      <c r="F6" s="26"/>
      <c r="G6" s="26"/>
      <c r="H6" s="66"/>
    </row>
    <row r="7" spans="2:8" ht="20" customHeight="1" x14ac:dyDescent="0.2">
      <c r="B7" s="66"/>
      <c r="C7" s="25" t="s">
        <v>15</v>
      </c>
      <c r="D7" s="68"/>
      <c r="E7" s="25" t="s">
        <v>16</v>
      </c>
      <c r="F7" s="26"/>
      <c r="G7" s="26"/>
      <c r="H7" s="66"/>
    </row>
    <row r="8" spans="2:8" ht="16" x14ac:dyDescent="0.2">
      <c r="B8" s="66"/>
      <c r="C8" s="26"/>
      <c r="D8" s="26"/>
      <c r="E8" s="26"/>
      <c r="F8" s="68" t="s">
        <v>21</v>
      </c>
      <c r="G8" s="26"/>
      <c r="H8" s="66"/>
    </row>
    <row r="9" spans="2:8" ht="16" x14ac:dyDescent="0.2">
      <c r="B9" s="27" t="s">
        <v>13</v>
      </c>
      <c r="C9" s="26"/>
      <c r="D9" s="27" t="s">
        <v>17</v>
      </c>
      <c r="E9" s="26"/>
      <c r="F9" s="68"/>
      <c r="G9" s="28"/>
      <c r="H9" s="66"/>
    </row>
  </sheetData>
  <mergeCells count="5">
    <mergeCell ref="B5:B8"/>
    <mergeCell ref="E5:E6"/>
    <mergeCell ref="H6:H9"/>
    <mergeCell ref="F8:F9"/>
    <mergeCell ref="D6:D7"/>
  </mergeCells>
  <pageMargins left="0.7" right="0.7" top="0.75" bottom="0.75" header="0.3" footer="0.3"/>
  <pageSetup scale="76"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ADA4-1D0B-5644-BF59-B44C109BB4B5}">
  <dimension ref="A1"/>
  <sheetViews>
    <sheetView workbookViewId="0"/>
  </sheetViews>
  <sheetFormatPr baseColWidth="10"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E596-3BA7-C54B-AC63-B74A973CC438}">
  <dimension ref="A1:A8"/>
  <sheetViews>
    <sheetView workbookViewId="0">
      <selection activeCell="A15" sqref="A15"/>
    </sheetView>
  </sheetViews>
  <sheetFormatPr baseColWidth="10" defaultRowHeight="24" x14ac:dyDescent="0.3"/>
  <cols>
    <col min="1" max="1" width="123.83203125" style="43" customWidth="1"/>
    <col min="2" max="16384" width="10.83203125" style="43"/>
  </cols>
  <sheetData>
    <row r="1" spans="1:1" ht="145" customHeight="1" x14ac:dyDescent="0.3">
      <c r="A1" s="42" t="s">
        <v>26</v>
      </c>
    </row>
    <row r="3" spans="1:1" x14ac:dyDescent="0.3">
      <c r="A3" s="44" t="s">
        <v>27</v>
      </c>
    </row>
    <row r="4" spans="1:1" x14ac:dyDescent="0.3">
      <c r="A4" s="44" t="s">
        <v>28</v>
      </c>
    </row>
    <row r="5" spans="1:1" x14ac:dyDescent="0.3">
      <c r="A5" s="44" t="s">
        <v>29</v>
      </c>
    </row>
    <row r="6" spans="1:1" x14ac:dyDescent="0.3">
      <c r="A6" s="44" t="s">
        <v>30</v>
      </c>
    </row>
    <row r="7" spans="1:1" x14ac:dyDescent="0.3">
      <c r="A7" s="44" t="s">
        <v>31</v>
      </c>
    </row>
    <row r="8" spans="1:1" x14ac:dyDescent="0.3">
      <c r="A8" s="44" t="s">
        <v>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931F4-B75B-D143-956B-C740749253AE}">
  <dimension ref="A1:F16"/>
  <sheetViews>
    <sheetView topLeftCell="A7" zoomScale="141" workbookViewId="0">
      <selection activeCell="C12" sqref="C12"/>
    </sheetView>
  </sheetViews>
  <sheetFormatPr baseColWidth="10" defaultRowHeight="15" x14ac:dyDescent="0.2"/>
  <cols>
    <col min="2" max="2" width="21.6640625" customWidth="1"/>
    <col min="3" max="3" width="78.5" customWidth="1"/>
    <col min="4" max="4" width="43.5" customWidth="1"/>
    <col min="5" max="5" width="20.5" customWidth="1"/>
    <col min="6" max="6" width="26.6640625" customWidth="1"/>
  </cols>
  <sheetData>
    <row r="1" spans="1:6" ht="44" x14ac:dyDescent="0.25">
      <c r="A1" s="45">
        <v>1</v>
      </c>
      <c r="B1" s="45" t="s">
        <v>33</v>
      </c>
      <c r="C1" s="45" t="s">
        <v>34</v>
      </c>
      <c r="D1" s="45" t="s">
        <v>35</v>
      </c>
    </row>
    <row r="2" spans="1:6" ht="88" x14ac:dyDescent="0.25">
      <c r="A2" s="45">
        <v>2</v>
      </c>
      <c r="B2" s="45" t="s">
        <v>36</v>
      </c>
      <c r="C2" s="45" t="s">
        <v>37</v>
      </c>
      <c r="D2" s="45" t="s">
        <v>38</v>
      </c>
    </row>
    <row r="3" spans="1:6" ht="44" x14ac:dyDescent="0.25">
      <c r="A3" s="45">
        <v>3</v>
      </c>
      <c r="B3" s="45" t="s">
        <v>39</v>
      </c>
      <c r="C3" s="45" t="s">
        <v>40</v>
      </c>
      <c r="D3" s="45" t="s">
        <v>35</v>
      </c>
    </row>
    <row r="4" spans="1:6" ht="66" x14ac:dyDescent="0.25">
      <c r="A4" s="45">
        <v>4</v>
      </c>
      <c r="B4" s="45" t="s">
        <v>41</v>
      </c>
      <c r="C4" s="45" t="s">
        <v>42</v>
      </c>
      <c r="D4" s="45" t="s">
        <v>38</v>
      </c>
    </row>
    <row r="5" spans="1:6" ht="22" x14ac:dyDescent="0.25">
      <c r="A5" s="45">
        <v>5</v>
      </c>
      <c r="B5" s="45" t="s">
        <v>43</v>
      </c>
      <c r="C5" s="45" t="s">
        <v>44</v>
      </c>
      <c r="D5" s="45" t="s">
        <v>45</v>
      </c>
    </row>
    <row r="6" spans="1:6" ht="44" x14ac:dyDescent="0.25">
      <c r="A6" s="45">
        <v>6</v>
      </c>
      <c r="B6" s="45" t="s">
        <v>46</v>
      </c>
      <c r="C6" s="45" t="s">
        <v>47</v>
      </c>
      <c r="D6" s="45" t="s">
        <v>48</v>
      </c>
    </row>
    <row r="7" spans="1:6" ht="44" x14ac:dyDescent="0.25">
      <c r="A7" s="45">
        <v>7</v>
      </c>
      <c r="B7" s="45" t="s">
        <v>49</v>
      </c>
      <c r="C7" s="45" t="s">
        <v>50</v>
      </c>
      <c r="D7" s="45" t="s">
        <v>35</v>
      </c>
    </row>
    <row r="8" spans="1:6" ht="88" x14ac:dyDescent="0.25">
      <c r="A8" s="45">
        <v>8</v>
      </c>
      <c r="B8" s="45" t="s">
        <v>51</v>
      </c>
      <c r="C8" s="45" t="s">
        <v>86</v>
      </c>
      <c r="D8" s="45" t="s">
        <v>38</v>
      </c>
      <c r="E8" s="45" t="s">
        <v>87</v>
      </c>
      <c r="F8" s="45" t="s">
        <v>88</v>
      </c>
    </row>
    <row r="9" spans="1:6" ht="44" x14ac:dyDescent="0.25">
      <c r="A9" s="45">
        <v>9</v>
      </c>
      <c r="B9" s="45" t="s">
        <v>52</v>
      </c>
      <c r="C9" s="45" t="s">
        <v>53</v>
      </c>
      <c r="D9" s="45" t="s">
        <v>54</v>
      </c>
    </row>
    <row r="10" spans="1:6" ht="66" x14ac:dyDescent="0.25">
      <c r="A10" s="45">
        <v>10</v>
      </c>
      <c r="B10" s="45" t="s">
        <v>55</v>
      </c>
      <c r="C10" s="45" t="s">
        <v>56</v>
      </c>
      <c r="D10" s="45" t="s">
        <v>38</v>
      </c>
    </row>
    <row r="11" spans="1:6" ht="88" x14ac:dyDescent="0.25">
      <c r="A11" s="45">
        <v>11</v>
      </c>
      <c r="B11" s="45" t="s">
        <v>57</v>
      </c>
      <c r="C11" s="45" t="s">
        <v>58</v>
      </c>
      <c r="D11" s="45" t="s">
        <v>35</v>
      </c>
    </row>
    <row r="12" spans="1:6" ht="66" x14ac:dyDescent="0.25">
      <c r="A12" s="45">
        <v>12</v>
      </c>
      <c r="B12" s="45" t="s">
        <v>59</v>
      </c>
      <c r="C12" s="45" t="s">
        <v>60</v>
      </c>
      <c r="D12" s="45" t="s">
        <v>61</v>
      </c>
    </row>
    <row r="13" spans="1:6" ht="88" x14ac:dyDescent="0.25">
      <c r="A13" s="45">
        <v>13</v>
      </c>
      <c r="B13" s="45" t="s">
        <v>62</v>
      </c>
      <c r="C13" s="45" t="s">
        <v>63</v>
      </c>
      <c r="D13" s="45" t="s">
        <v>38</v>
      </c>
    </row>
    <row r="14" spans="1:6" ht="44" x14ac:dyDescent="0.25">
      <c r="A14" s="45">
        <v>14</v>
      </c>
      <c r="B14" s="45" t="s">
        <v>59</v>
      </c>
      <c r="C14" s="45" t="s">
        <v>64</v>
      </c>
      <c r="D14" s="45" t="s">
        <v>35</v>
      </c>
    </row>
    <row r="15" spans="1:6" ht="66" x14ac:dyDescent="0.25">
      <c r="A15" s="45">
        <v>15</v>
      </c>
      <c r="B15" s="45" t="s">
        <v>65</v>
      </c>
      <c r="C15" s="45" t="s">
        <v>66</v>
      </c>
      <c r="D15" s="45" t="s">
        <v>67</v>
      </c>
    </row>
    <row r="16" spans="1:6" ht="22" x14ac:dyDescent="0.25">
      <c r="A16" s="45">
        <v>16</v>
      </c>
      <c r="B16" s="45" t="s">
        <v>68</v>
      </c>
      <c r="C16" s="45" t="s">
        <v>68</v>
      </c>
      <c r="D16" s="45"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schedule</vt:lpstr>
      <vt:lpstr>weekly</vt:lpstr>
      <vt:lpstr>--&gt;</vt:lpstr>
      <vt:lpstr>CLOS</vt:lpstr>
      <vt:lpstr>details</vt:lpstr>
      <vt:lpstr>weekly!Print_Area</vt:lpstr>
    </vt:vector>
  </TitlesOfParts>
  <Company>Cal Poly, San Luis Obispo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Zilber Mann</dc:creator>
  <cp:lastModifiedBy>Charlotte Zilber Mann</cp:lastModifiedBy>
  <cp:lastPrinted>2025-01-06T17:23:49Z</cp:lastPrinted>
  <dcterms:created xsi:type="dcterms:W3CDTF">2024-08-13T19:33:04Z</dcterms:created>
  <dcterms:modified xsi:type="dcterms:W3CDTF">2026-10-20T17:43:59Z</dcterms:modified>
</cp:coreProperties>
</file>